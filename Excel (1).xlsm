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360" yWindow="60" windowWidth="7635" windowHeight="4185"/>
  </bookViews>
  <sheets>
    <sheet name="Формат дат" sheetId="1" r:id="rId1"/>
    <sheet name="Раскрывающийся список" sheetId="5" r:id="rId2"/>
    <sheet name="Выпадающий список" sheetId="2" r:id="rId3"/>
    <sheet name="Элемент управления" sheetId="3" r:id="rId4"/>
    <sheet name="ЭлементActiveX" sheetId="4" r:id="rId5"/>
    <sheet name="10.1" sheetId="6" r:id="rId6"/>
    <sheet name="10.2" sheetId="7" r:id="rId7"/>
    <sheet name="10.3.1" sheetId="8" r:id="rId8"/>
    <sheet name="10.3.2" sheetId="9" r:id="rId9"/>
    <sheet name="10.3.3" sheetId="10" r:id="rId10"/>
    <sheet name="13.1" sheetId="12" r:id="rId11"/>
    <sheet name="13.2" sheetId="13" r:id="rId12"/>
    <sheet name="13.3" sheetId="15" r:id="rId13"/>
    <sheet name="13.4" sheetId="16" r:id="rId14"/>
  </sheets>
  <definedNames>
    <definedName name="solver_adj" localSheetId="10" hidden="1">'13.1'!$B$11:$E$14</definedName>
    <definedName name="solver_adj" localSheetId="11" hidden="1">'13.2'!$B$11:$G$14</definedName>
    <definedName name="solver_adj" localSheetId="12" hidden="1">'13.3'!$B$11:$G$14</definedName>
    <definedName name="solver_adj" localSheetId="13" hidden="1">'13.4'!$B$11:$E$14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eng" localSheetId="10" hidden="1">1</definedName>
    <definedName name="solver_eng" localSheetId="11" hidden="1">1</definedName>
    <definedName name="solver_eng" localSheetId="12" hidden="1">1</definedName>
    <definedName name="solver_eng" localSheetId="13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itr" localSheetId="10" hidden="1">2147483647</definedName>
    <definedName name="solver_itr" localSheetId="11" hidden="1">2147483647</definedName>
    <definedName name="solver_itr" localSheetId="12" hidden="1">2147483647</definedName>
    <definedName name="solver_itr" localSheetId="13" hidden="1">2147483647</definedName>
    <definedName name="solver_lhs1" localSheetId="10" hidden="1">'13.1'!$B$11:$E$14</definedName>
    <definedName name="solver_lhs1" localSheetId="11" hidden="1">'13.2'!$B$11:$G$14</definedName>
    <definedName name="solver_lhs1" localSheetId="12" hidden="1">'13.3'!$B$11:$G$14</definedName>
    <definedName name="solver_lhs1" localSheetId="13" hidden="1">'13.4'!$B$11:$E$14</definedName>
    <definedName name="solver_lhs2" localSheetId="10" hidden="1">'13.1'!$B$11:$E$14</definedName>
    <definedName name="solver_lhs2" localSheetId="11" hidden="1">'13.2'!$B$11:$G$14</definedName>
    <definedName name="solver_lhs2" localSheetId="12" hidden="1">'13.3'!$B$11:$G$14</definedName>
    <definedName name="solver_lhs2" localSheetId="13" hidden="1">'13.4'!$B$11:$E$14</definedName>
    <definedName name="solver_lhs3" localSheetId="10" hidden="1">'13.1'!$B$15:$E$15</definedName>
    <definedName name="solver_lhs3" localSheetId="11" hidden="1">'13.2'!$B$15:$G$15</definedName>
    <definedName name="solver_lhs3" localSheetId="12" hidden="1">'13.3'!$B$15:$G$15</definedName>
    <definedName name="solver_lhs3" localSheetId="13" hidden="1">'13.4'!$B$15:$E$15</definedName>
    <definedName name="solver_lhs4" localSheetId="10" hidden="1">'13.1'!$F$11:$F$14</definedName>
    <definedName name="solver_lhs4" localSheetId="11" hidden="1">'13.2'!$F$11:$F$14</definedName>
    <definedName name="solver_lhs4" localSheetId="12" hidden="1">'13.3'!$F$11:$F$14</definedName>
    <definedName name="solver_lhs4" localSheetId="13" hidden="1">'13.4'!$F$11:$F$14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13" hidden="1">2147483647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13" hidden="1">30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13" hidden="1">0.075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13" hidden="1">2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13" hidden="1">2147483647</definedName>
    <definedName name="solver_num" localSheetId="10" hidden="1">4</definedName>
    <definedName name="solver_num" localSheetId="11" hidden="1">4</definedName>
    <definedName name="solver_num" localSheetId="12" hidden="1">4</definedName>
    <definedName name="solver_num" localSheetId="13" hidden="1">4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opt" localSheetId="10" hidden="1">'13.1'!$B$23</definedName>
    <definedName name="solver_opt" localSheetId="11" hidden="1">'13.2'!$B$23</definedName>
    <definedName name="solver_opt" localSheetId="12" hidden="1">'13.3'!$B$23</definedName>
    <definedName name="solver_opt" localSheetId="13" hidden="1">'13.4'!$B$23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rbv" localSheetId="10" hidden="1">1</definedName>
    <definedName name="solver_rbv" localSheetId="11" hidden="1">1</definedName>
    <definedName name="solver_rbv" localSheetId="12" hidden="1">1</definedName>
    <definedName name="solver_rbv" localSheetId="13" hidden="1">1</definedName>
    <definedName name="solver_rel1" localSheetId="10" hidden="1">4</definedName>
    <definedName name="solver_rel1" localSheetId="11" hidden="1">4</definedName>
    <definedName name="solver_rel1" localSheetId="12" hidden="1">4</definedName>
    <definedName name="solver_rel1" localSheetId="13" hidden="1">4</definedName>
    <definedName name="solver_rel2" localSheetId="10" hidden="1">3</definedName>
    <definedName name="solver_rel2" localSheetId="11" hidden="1">3</definedName>
    <definedName name="solver_rel2" localSheetId="12" hidden="1">3</definedName>
    <definedName name="solver_rel2" localSheetId="13" hidden="1">3</definedName>
    <definedName name="solver_rel3" localSheetId="10" hidden="1">2</definedName>
    <definedName name="solver_rel3" localSheetId="11" hidden="1">2</definedName>
    <definedName name="solver_rel3" localSheetId="12" hidden="1">2</definedName>
    <definedName name="solver_rel3" localSheetId="13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hs1" localSheetId="10" hidden="1">целое</definedName>
    <definedName name="solver_rhs1" localSheetId="11" hidden="1">целое</definedName>
    <definedName name="solver_rhs1" localSheetId="12" hidden="1">целое</definedName>
    <definedName name="solver_rhs1" localSheetId="13" hidden="1">целое</definedName>
    <definedName name="solver_rhs2" localSheetId="10" hidden="1">0</definedName>
    <definedName name="solver_rhs2" localSheetId="11" hidden="1">0</definedName>
    <definedName name="solver_rhs2" localSheetId="12" hidden="1">0</definedName>
    <definedName name="solver_rhs2" localSheetId="13" hidden="1">0</definedName>
    <definedName name="solver_rhs3" localSheetId="10" hidden="1">'13.1'!$B$8:$E$8</definedName>
    <definedName name="solver_rhs3" localSheetId="11" hidden="1">'13.2'!$B$8:$G$8</definedName>
    <definedName name="solver_rhs3" localSheetId="12" hidden="1">'13.3'!$B$8:$G$8</definedName>
    <definedName name="solver_rhs3" localSheetId="13" hidden="1">'13.4'!$B$8:$E$8</definedName>
    <definedName name="solver_rhs4" localSheetId="10" hidden="1">'13.1'!$F$4:$F$7</definedName>
    <definedName name="solver_rhs4" localSheetId="11" hidden="1">'13.2'!$F$4:$F$7</definedName>
    <definedName name="solver_rhs4" localSheetId="12" hidden="1">'13.3'!$F$4:$F$7</definedName>
    <definedName name="solver_rhs4" localSheetId="13" hidden="1">'13.4'!$F$4:$F$7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13" hidden="1">2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13" hidden="1">0</definedName>
    <definedName name="solver_scl" localSheetId="10" hidden="1">1</definedName>
    <definedName name="solver_scl" localSheetId="11" hidden="1">1</definedName>
    <definedName name="solver_scl" localSheetId="12" hidden="1">1</definedName>
    <definedName name="solver_scl" localSheetId="13" hidden="1">1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13" hidden="1">100</definedName>
    <definedName name="solver_tim" localSheetId="10" hidden="1">2147483647</definedName>
    <definedName name="solver_tim" localSheetId="11" hidden="1">2147483647</definedName>
    <definedName name="solver_tim" localSheetId="12" hidden="1">2147483647</definedName>
    <definedName name="solver_tim" localSheetId="13" hidden="1">2147483647</definedName>
    <definedName name="solver_tol" localSheetId="10" hidden="1">0.01</definedName>
    <definedName name="solver_tol" localSheetId="11" hidden="1">0.01</definedName>
    <definedName name="solver_tol" localSheetId="12" hidden="1">0.01</definedName>
    <definedName name="solver_tol" localSheetId="13" hidden="1">0.01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13" hidden="1">3</definedName>
  </definedNames>
  <calcPr calcId="144525"/>
</workbook>
</file>

<file path=xl/calcChain.xml><?xml version="1.0" encoding="utf-8"?>
<calcChain xmlns="http://schemas.openxmlformats.org/spreadsheetml/2006/main">
  <c r="B18" i="16" l="1" a="1"/>
  <c r="E21" i="16" s="1"/>
  <c r="E15" i="16"/>
  <c r="D15" i="16"/>
  <c r="C15" i="16"/>
  <c r="B15" i="16"/>
  <c r="F14" i="16"/>
  <c r="F13" i="16"/>
  <c r="F12" i="16"/>
  <c r="F11" i="16"/>
  <c r="B18" i="15" a="1"/>
  <c r="G21" i="15" s="1"/>
  <c r="G15" i="15"/>
  <c r="F15" i="15"/>
  <c r="E15" i="15"/>
  <c r="D15" i="15"/>
  <c r="C15" i="15"/>
  <c r="B15" i="15"/>
  <c r="H14" i="15"/>
  <c r="H13" i="15"/>
  <c r="H12" i="15"/>
  <c r="H11" i="15"/>
  <c r="B18" i="13" a="1"/>
  <c r="B18" i="13"/>
  <c r="C18" i="13"/>
  <c r="D18" i="13"/>
  <c r="E18" i="13"/>
  <c r="F18" i="13"/>
  <c r="G18" i="13"/>
  <c r="B19" i="13"/>
  <c r="C19" i="13"/>
  <c r="D19" i="13"/>
  <c r="E19" i="13"/>
  <c r="F19" i="13"/>
  <c r="G19" i="13"/>
  <c r="B20" i="13"/>
  <c r="C20" i="13"/>
  <c r="D20" i="13"/>
  <c r="E20" i="13"/>
  <c r="F20" i="13"/>
  <c r="G20" i="13"/>
  <c r="B21" i="13"/>
  <c r="C21" i="13"/>
  <c r="D21" i="13"/>
  <c r="E21" i="13"/>
  <c r="F21" i="13"/>
  <c r="G21" i="13"/>
  <c r="C15" i="13"/>
  <c r="D15" i="13"/>
  <c r="E15" i="13"/>
  <c r="G15" i="13"/>
  <c r="B15" i="13"/>
  <c r="H14" i="13"/>
  <c r="H13" i="13"/>
  <c r="H12" i="13"/>
  <c r="H11" i="13"/>
  <c r="B18" i="12" a="1"/>
  <c r="B18" i="12"/>
  <c r="C18" i="12"/>
  <c r="D18" i="12"/>
  <c r="E18" i="12"/>
  <c r="B19" i="12"/>
  <c r="C19" i="12"/>
  <c r="D19" i="12"/>
  <c r="E19" i="12"/>
  <c r="B20" i="12"/>
  <c r="C20" i="12"/>
  <c r="D20" i="12"/>
  <c r="E20" i="12"/>
  <c r="B21" i="12"/>
  <c r="C21" i="12"/>
  <c r="D21" i="12"/>
  <c r="E21" i="12"/>
  <c r="B15" i="12"/>
  <c r="F11" i="12"/>
  <c r="F12" i="12"/>
  <c r="F13" i="12"/>
  <c r="F14" i="12"/>
  <c r="C15" i="12"/>
  <c r="D15" i="12"/>
  <c r="E15" i="12"/>
  <c r="E2" i="10"/>
  <c r="E2" i="9"/>
  <c r="B5" i="8"/>
  <c r="E2" i="8"/>
  <c r="B18" i="16" l="1"/>
  <c r="C18" i="16"/>
  <c r="D18" i="16"/>
  <c r="E18" i="16"/>
  <c r="B19" i="16"/>
  <c r="C19" i="16"/>
  <c r="D19" i="16"/>
  <c r="E19" i="16"/>
  <c r="B20" i="16"/>
  <c r="C20" i="16"/>
  <c r="D20" i="16"/>
  <c r="E20" i="16"/>
  <c r="B21" i="16"/>
  <c r="C21" i="16"/>
  <c r="D21" i="16"/>
  <c r="B18" i="15"/>
  <c r="C18" i="15"/>
  <c r="D18" i="15"/>
  <c r="E18" i="15"/>
  <c r="F18" i="15"/>
  <c r="G18" i="15"/>
  <c r="B19" i="15"/>
  <c r="C19" i="15"/>
  <c r="D19" i="15"/>
  <c r="E19" i="15"/>
  <c r="F19" i="15"/>
  <c r="G19" i="15"/>
  <c r="B20" i="15"/>
  <c r="C20" i="15"/>
  <c r="D20" i="15"/>
  <c r="E20" i="15"/>
  <c r="F20" i="15"/>
  <c r="G20" i="15"/>
  <c r="B21" i="15"/>
  <c r="C21" i="15"/>
  <c r="D21" i="15"/>
  <c r="E21" i="15"/>
  <c r="F21" i="15"/>
  <c r="B23" i="13"/>
  <c r="F15" i="13"/>
  <c r="B23" i="12"/>
  <c r="E2" i="7"/>
  <c r="B5" i="7"/>
  <c r="B23" i="16" l="1"/>
  <c r="B24" i="16" s="1"/>
  <c r="B23" i="15"/>
  <c r="B5" i="6"/>
  <c r="F2" i="6"/>
</calcChain>
</file>

<file path=xl/sharedStrings.xml><?xml version="1.0" encoding="utf-8"?>
<sst xmlns="http://schemas.openxmlformats.org/spreadsheetml/2006/main" count="131" uniqueCount="71">
  <si>
    <t>Наименование</t>
  </si>
  <si>
    <t>Месяц</t>
  </si>
  <si>
    <t>Склад</t>
  </si>
  <si>
    <t>Продано</t>
  </si>
  <si>
    <t>Апельсины</t>
  </si>
  <si>
    <t>Киви</t>
  </si>
  <si>
    <t>Яболки</t>
  </si>
  <si>
    <t>Ананасы</t>
  </si>
  <si>
    <t>Бананы</t>
  </si>
  <si>
    <t>Сливы</t>
  </si>
  <si>
    <t>январь</t>
  </si>
  <si>
    <t>февраль</t>
  </si>
  <si>
    <t>апрель</t>
  </si>
  <si>
    <t>март</t>
  </si>
  <si>
    <t>#001</t>
  </si>
  <si>
    <t>#002</t>
  </si>
  <si>
    <t>Ананас</t>
  </si>
  <si>
    <t>Персик</t>
  </si>
  <si>
    <t>Клубника</t>
  </si>
  <si>
    <t>Малина</t>
  </si>
  <si>
    <t>Ежевика</t>
  </si>
  <si>
    <t>Черешня</t>
  </si>
  <si>
    <t>Яблоки</t>
  </si>
  <si>
    <t>Вызов макроса форматирования дат</t>
  </si>
  <si>
    <t>Ctrl+Shift+F</t>
  </si>
  <si>
    <t>Иванов</t>
  </si>
  <si>
    <t>менеджер</t>
  </si>
  <si>
    <t>Петров</t>
  </si>
  <si>
    <t>стажер</t>
  </si>
  <si>
    <t>Тарасов</t>
  </si>
  <si>
    <t>Михайлов</t>
  </si>
  <si>
    <t>руководитель</t>
  </si>
  <si>
    <t>Аникин</t>
  </si>
  <si>
    <t>курьер</t>
  </si>
  <si>
    <t>Сергеев</t>
  </si>
  <si>
    <t>продавец</t>
  </si>
  <si>
    <t>Андреев</t>
  </si>
  <si>
    <t>Назаров</t>
  </si>
  <si>
    <t>Крюков</t>
  </si>
  <si>
    <t>администратор</t>
  </si>
  <si>
    <t>Телевидение</t>
  </si>
  <si>
    <t>Web-сайт</t>
  </si>
  <si>
    <t>период</t>
  </si>
  <si>
    <t>выплата</t>
  </si>
  <si>
    <t>начальный взнос</t>
  </si>
  <si>
    <t>БС</t>
  </si>
  <si>
    <t>Процентная ставка</t>
  </si>
  <si>
    <t>Выплаты</t>
  </si>
  <si>
    <t>ставка</t>
  </si>
  <si>
    <t>Сроки выплат</t>
  </si>
  <si>
    <t>Таблица Пифагора</t>
  </si>
  <si>
    <t>А</t>
  </si>
  <si>
    <t>В</t>
  </si>
  <si>
    <t>платеж</t>
  </si>
  <si>
    <t>Таб.1 Условие задачи</t>
  </si>
  <si>
    <t>Элеваторы</t>
  </si>
  <si>
    <t>Сельскохоз.предпр.</t>
  </si>
  <si>
    <t>A</t>
  </si>
  <si>
    <t>B</t>
  </si>
  <si>
    <t>C</t>
  </si>
  <si>
    <t>D</t>
  </si>
  <si>
    <t>Таб.2</t>
  </si>
  <si>
    <t>Таб.3</t>
  </si>
  <si>
    <t>Целевая функция</t>
  </si>
  <si>
    <t>Цеха</t>
  </si>
  <si>
    <t>Магазины</t>
  </si>
  <si>
    <t>Предприятия</t>
  </si>
  <si>
    <t>Склады</t>
  </si>
  <si>
    <t>Хранилище</t>
  </si>
  <si>
    <t>Потребители</t>
  </si>
  <si>
    <t>Затраты на перевозку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</si>
</sst>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,##0.00\ &quot;₽&quot;;[Red]\-#,##0.00\ &quot;₽&quot;"/>
    <numFmt numFmtId="165" formatCode="[$-FC19]dd\ mmmm\ yyyy\ \г\.;@"/>
    <numFmt numFmtId="166" formatCode="_-* #,##0.00\ [$€-1]_-;\-* #,##0.00\ [$€-1]_-;_-* &quot;-&quot;??\ [$€-1]_-;_-@_-"/>
    <numFmt numFmtId="167" formatCode="#,##0.00\ [$€-1]"/>
    <numFmt numFmtId="168" formatCode="#,##0_ ;[Red]\-#,##0\ "/>
    <numFmt numFmtId="169" formatCode="[$$-409]#,##0.00"/>
    <numFmt numFmtId="170" formatCode="0.0%"/>
  </numFmts>
  <fonts count="1" x14ac:knownFonts="1"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center"/>
    </xf>
    <xf numFmtId="0" fontId="0" fillId="4" borderId="0" xfId="0" applyFill="1"/>
    <xf numFmtId="9" fontId="0" fillId="0" borderId="0" xfId="0" applyNumberFormat="1"/>
    <xf numFmtId="164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9" fontId="0" fillId="0" borderId="1" xfId="0" applyNumberFormat="1" applyBorder="1" applyAlignment="1">
      <alignment horizontal="center"/>
    </xf>
    <xf numFmtId="167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/>
    <xf numFmtId="168" fontId="0" fillId="5" borderId="1" xfId="0" applyNumberFormat="1" applyFill="1" applyBorder="1"/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9" fontId="0" fillId="0" borderId="0" xfId="0" applyNumberFormat="1"/>
    <xf numFmtId="10" fontId="0" fillId="0" borderId="0" xfId="0" applyNumberFormat="1"/>
    <xf numFmtId="170" fontId="0" fillId="0" borderId="0" xfId="0" applyNumberFormat="1"/>
    <xf numFmtId="10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F$2" fmlaRange="$F$5:$F$11" noThreeD="1" sel="6" val="0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</xdr:row>
          <xdr:rowOff>104775</xdr:rowOff>
        </xdr:from>
        <xdr:to>
          <xdr:col>3</xdr:col>
          <xdr:colOff>600075</xdr:colOff>
          <xdr:row>3</xdr:row>
          <xdr:rowOff>19050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180975</xdr:rowOff>
        </xdr:from>
        <xdr:to>
          <xdr:col>3</xdr:col>
          <xdr:colOff>276225</xdr:colOff>
          <xdr:row>3</xdr:row>
          <xdr:rowOff>57150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4"/>
  <sheetViews>
    <sheetView tabSelected="1" workbookViewId="0">
      <selection activeCell="A7" sqref="A7"/>
    </sheetView>
  </sheetViews>
  <sheetFormatPr defaultRowHeight="15" x14ac:dyDescent="0.25"/>
  <cols>
    <col min="1" max="1" width="16.85546875" customWidth="1"/>
    <col min="3" max="3" width="17" bestFit="1" customWidth="1"/>
  </cols>
  <sheetData>
    <row r="1" spans="1:3" x14ac:dyDescent="0.25">
      <c r="A1" s="1">
        <v>37115</v>
      </c>
      <c r="C1" s="2">
        <v>43384</v>
      </c>
    </row>
    <row r="3" spans="1:3" x14ac:dyDescent="0.25">
      <c r="A3" t="s">
        <v>23</v>
      </c>
    </row>
    <row r="4" spans="1:3" x14ac:dyDescent="0.25">
      <c r="A4" s="7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6"/>
  <sheetViews>
    <sheetView workbookViewId="0">
      <selection activeCell="C4" sqref="C4"/>
    </sheetView>
  </sheetViews>
  <sheetFormatPr defaultRowHeight="15" x14ac:dyDescent="0.25"/>
  <cols>
    <col min="1" max="1" width="15.42578125" customWidth="1"/>
    <col min="4" max="4" width="10.7109375" customWidth="1"/>
  </cols>
  <sheetData>
    <row r="1" spans="1:1" x14ac:dyDescent="0.25">
      <c r="A1" t="s">
        <v>40</v>
      </c>
    </row>
    <row r="2" spans="1:1" x14ac:dyDescent="0.25">
      <c r="A2" t="s">
        <v>40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41</v>
      </c>
    </row>
    <row r="6" spans="1:1" x14ac:dyDescent="0.25">
      <c r="A6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"/>
  <sheetViews>
    <sheetView workbookViewId="0">
      <selection activeCell="E3" sqref="E3"/>
    </sheetView>
  </sheetViews>
  <sheetFormatPr defaultRowHeight="15" x14ac:dyDescent="0.25"/>
  <cols>
    <col min="1" max="1" width="15.42578125" customWidth="1"/>
    <col min="4" max="4" width="10.7109375" customWidth="1"/>
    <col min="8" max="8" width="14.5703125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8" x14ac:dyDescent="0.25">
      <c r="A2" t="s">
        <v>4</v>
      </c>
      <c r="B2" t="s">
        <v>10</v>
      </c>
      <c r="C2" s="6" t="s">
        <v>14</v>
      </c>
      <c r="D2" s="5">
        <v>0</v>
      </c>
    </row>
    <row r="3" spans="1:8" x14ac:dyDescent="0.25">
      <c r="A3" t="s">
        <v>4</v>
      </c>
      <c r="B3" t="s">
        <v>11</v>
      </c>
      <c r="C3" s="6" t="s">
        <v>14</v>
      </c>
      <c r="D3" s="5">
        <v>311.85000000000002</v>
      </c>
      <c r="H3" s="4" t="s">
        <v>4</v>
      </c>
    </row>
    <row r="4" spans="1:8" x14ac:dyDescent="0.25">
      <c r="A4" t="s">
        <v>5</v>
      </c>
      <c r="B4" t="s">
        <v>12</v>
      </c>
      <c r="C4" s="6" t="s">
        <v>15</v>
      </c>
      <c r="D4" s="5">
        <v>623.70000000000005</v>
      </c>
      <c r="H4" s="4" t="s">
        <v>5</v>
      </c>
    </row>
    <row r="5" spans="1:8" x14ac:dyDescent="0.25">
      <c r="A5" t="s">
        <v>6</v>
      </c>
      <c r="B5" t="s">
        <v>11</v>
      </c>
      <c r="C5" s="6" t="s">
        <v>15</v>
      </c>
      <c r="D5" s="5">
        <v>207.9</v>
      </c>
      <c r="H5" s="4" t="s">
        <v>6</v>
      </c>
    </row>
    <row r="6" spans="1:8" x14ac:dyDescent="0.25">
      <c r="A6" t="s">
        <v>4</v>
      </c>
      <c r="B6" t="s">
        <v>13</v>
      </c>
      <c r="C6" s="6" t="s">
        <v>14</v>
      </c>
      <c r="D6" s="5">
        <v>415.8</v>
      </c>
      <c r="H6" s="4" t="s">
        <v>7</v>
      </c>
    </row>
    <row r="7" spans="1:8" x14ac:dyDescent="0.25">
      <c r="H7" s="4" t="s">
        <v>8</v>
      </c>
    </row>
    <row r="8" spans="1:8" x14ac:dyDescent="0.25">
      <c r="H8" s="4" t="s">
        <v>9</v>
      </c>
    </row>
  </sheetData>
  <dataValidations count="1">
    <dataValidation type="list" allowBlank="1" showInputMessage="1" showErrorMessage="1" sqref="A2:A6">
      <formula1>$H$3:$H$8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F2:F11"/>
  <sheetViews>
    <sheetView workbookViewId="0">
      <selection activeCell="F5" sqref="F5:F11"/>
    </sheetView>
  </sheetViews>
  <sheetFormatPr defaultRowHeight="15" x14ac:dyDescent="0.25"/>
  <cols>
    <col min="6" max="6" width="13" customWidth="1"/>
  </cols>
  <sheetData>
    <row r="2" spans="6:6" x14ac:dyDescent="0.25">
      <c r="F2">
        <v>6</v>
      </c>
    </row>
    <row r="5" spans="6:6" x14ac:dyDescent="0.25">
      <c r="F5" s="7" t="s">
        <v>16</v>
      </c>
    </row>
    <row r="6" spans="6:6" x14ac:dyDescent="0.25">
      <c r="F6" s="7" t="s">
        <v>17</v>
      </c>
    </row>
    <row r="7" spans="6:6" x14ac:dyDescent="0.25">
      <c r="F7" s="7" t="s">
        <v>18</v>
      </c>
    </row>
    <row r="8" spans="6:6" x14ac:dyDescent="0.25">
      <c r="F8" s="7" t="s">
        <v>19</v>
      </c>
    </row>
    <row r="9" spans="6:6" x14ac:dyDescent="0.25">
      <c r="F9" s="7" t="s">
        <v>20</v>
      </c>
    </row>
    <row r="10" spans="6:6" x14ac:dyDescent="0.25">
      <c r="F10" s="7" t="s">
        <v>21</v>
      </c>
    </row>
    <row r="11" spans="6:6" x14ac:dyDescent="0.25">
      <c r="F11" s="7" t="s">
        <v>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1</xdr:col>
                    <xdr:colOff>76200</xdr:colOff>
                    <xdr:row>1</xdr:row>
                    <xdr:rowOff>104775</xdr:rowOff>
                  </from>
                  <to>
                    <xdr:col>3</xdr:col>
                    <xdr:colOff>600075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3:H11"/>
  <sheetViews>
    <sheetView workbookViewId="0">
      <selection activeCell="B7" sqref="B7"/>
    </sheetView>
  </sheetViews>
  <sheetFormatPr defaultRowHeight="15" x14ac:dyDescent="0.25"/>
  <cols>
    <col min="2" max="2" width="13.85546875" customWidth="1"/>
    <col min="3" max="3" width="15.5703125" customWidth="1"/>
    <col min="5" max="5" width="10.28515625" customWidth="1"/>
    <col min="6" max="6" width="11.85546875" customWidth="1"/>
    <col min="7" max="7" width="14.28515625" customWidth="1"/>
    <col min="8" max="8" width="16" customWidth="1"/>
  </cols>
  <sheetData>
    <row r="3" spans="2:8" x14ac:dyDescent="0.25">
      <c r="G3" t="s">
        <v>25</v>
      </c>
      <c r="H3" t="s">
        <v>26</v>
      </c>
    </row>
    <row r="4" spans="2:8" x14ac:dyDescent="0.25">
      <c r="G4" t="s">
        <v>27</v>
      </c>
      <c r="H4" t="s">
        <v>28</v>
      </c>
    </row>
    <row r="5" spans="2:8" x14ac:dyDescent="0.25">
      <c r="B5" s="7" t="s">
        <v>35</v>
      </c>
      <c r="C5" s="7"/>
      <c r="G5" t="s">
        <v>29</v>
      </c>
      <c r="H5" t="s">
        <v>26</v>
      </c>
    </row>
    <row r="6" spans="2:8" x14ac:dyDescent="0.25">
      <c r="G6" t="s">
        <v>30</v>
      </c>
      <c r="H6" t="s">
        <v>31</v>
      </c>
    </row>
    <row r="7" spans="2:8" x14ac:dyDescent="0.25">
      <c r="G7" t="s">
        <v>32</v>
      </c>
      <c r="H7" t="s">
        <v>33</v>
      </c>
    </row>
    <row r="8" spans="2:8" x14ac:dyDescent="0.25">
      <c r="G8" t="s">
        <v>34</v>
      </c>
      <c r="H8" t="s">
        <v>35</v>
      </c>
    </row>
    <row r="9" spans="2:8" x14ac:dyDescent="0.25">
      <c r="G9" t="s">
        <v>36</v>
      </c>
      <c r="H9" t="s">
        <v>35</v>
      </c>
    </row>
    <row r="10" spans="2:8" x14ac:dyDescent="0.25">
      <c r="G10" t="s">
        <v>37</v>
      </c>
      <c r="H10" t="s">
        <v>33</v>
      </c>
    </row>
    <row r="11" spans="2:8" x14ac:dyDescent="0.25">
      <c r="G11" t="s">
        <v>38</v>
      </c>
      <c r="H11" t="s">
        <v>39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boBox1">
          <controlPr defaultSize="0" autoLine="0" linkedCell="B5:C5" listFillRange="G3:H11" r:id="rId4">
            <anchor moveWithCells="1">
              <from>
                <xdr:col>1</xdr:col>
                <xdr:colOff>9525</xdr:colOff>
                <xdr:row>1</xdr:row>
                <xdr:rowOff>180975</xdr:rowOff>
              </from>
              <to>
                <xdr:col>3</xdr:col>
                <xdr:colOff>276225</xdr:colOff>
                <xdr:row>3</xdr:row>
                <xdr:rowOff>57150</xdr:rowOff>
              </to>
            </anchor>
          </controlPr>
        </control>
      </mc:Choice>
      <mc:Fallback>
        <control shapeId="4097" r:id="rId3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F6" sqref="F6"/>
    </sheetView>
  </sheetViews>
  <sheetFormatPr defaultRowHeight="15" x14ac:dyDescent="0.25"/>
  <cols>
    <col min="1" max="1" width="18.42578125" customWidth="1"/>
    <col min="2" max="2" width="10.5703125" bestFit="1" customWidth="1"/>
    <col min="5" max="5" width="18.28515625" customWidth="1"/>
    <col min="6" max="6" width="10.5703125" customWidth="1"/>
  </cols>
  <sheetData>
    <row r="1" spans="1:6" x14ac:dyDescent="0.25">
      <c r="A1" t="s">
        <v>48</v>
      </c>
      <c r="B1" s="8">
        <v>0.12</v>
      </c>
      <c r="E1" s="6" t="s">
        <v>46</v>
      </c>
      <c r="F1" s="6" t="s">
        <v>47</v>
      </c>
    </row>
    <row r="2" spans="1:6" x14ac:dyDescent="0.25">
      <c r="A2" t="s">
        <v>42</v>
      </c>
      <c r="B2">
        <v>6</v>
      </c>
      <c r="F2" s="9">
        <f>FV(B1,B2,B3,B4,1)</f>
        <v>18958.125154304013</v>
      </c>
    </row>
    <row r="3" spans="1:6" x14ac:dyDescent="0.25">
      <c r="A3" t="s">
        <v>43</v>
      </c>
      <c r="B3">
        <v>-1000</v>
      </c>
      <c r="E3" s="10">
        <v>0.08</v>
      </c>
      <c r="F3">
        <f t="dataTable" ref="F3:F6" dt2D="0" dtr="0" r1="B1"/>
        <v>15857.174974464011</v>
      </c>
    </row>
    <row r="4" spans="1:6" x14ac:dyDescent="0.25">
      <c r="A4" t="s">
        <v>44</v>
      </c>
      <c r="B4">
        <v>-5000</v>
      </c>
      <c r="E4" s="10">
        <v>0.09</v>
      </c>
      <c r="F4">
        <v>16585.935229946012</v>
      </c>
    </row>
    <row r="5" spans="1:6" x14ac:dyDescent="0.25">
      <c r="A5" t="s">
        <v>45</v>
      </c>
      <c r="B5" s="9">
        <f>FV(B1,B2,B3,B4,1)</f>
        <v>18958.125154304013</v>
      </c>
      <c r="E5" s="10">
        <v>0.1</v>
      </c>
      <c r="F5">
        <v>17344.976000000013</v>
      </c>
    </row>
    <row r="6" spans="1:6" x14ac:dyDescent="0.25">
      <c r="E6" s="10">
        <v>0.11</v>
      </c>
      <c r="F6">
        <v>18135.346878066011</v>
      </c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B1" sqref="B1"/>
    </sheetView>
  </sheetViews>
  <sheetFormatPr defaultRowHeight="15" x14ac:dyDescent="0.25"/>
  <cols>
    <col min="1" max="1" width="18.42578125" customWidth="1"/>
    <col min="2" max="2" width="10.5703125" bestFit="1" customWidth="1"/>
    <col min="5" max="5" width="18.28515625" customWidth="1"/>
    <col min="6" max="6" width="10.5703125" customWidth="1"/>
  </cols>
  <sheetData>
    <row r="1" spans="1:11" x14ac:dyDescent="0.25">
      <c r="A1" t="s">
        <v>48</v>
      </c>
      <c r="B1" s="8">
        <v>0.12</v>
      </c>
      <c r="E1" s="12" t="s">
        <v>46</v>
      </c>
      <c r="F1" s="13" t="s">
        <v>49</v>
      </c>
      <c r="G1" s="13"/>
      <c r="H1" s="13"/>
      <c r="I1" s="13"/>
      <c r="J1" s="13"/>
      <c r="K1" s="13"/>
    </row>
    <row r="2" spans="1:11" x14ac:dyDescent="0.25">
      <c r="A2" t="s">
        <v>42</v>
      </c>
      <c r="B2">
        <v>6</v>
      </c>
      <c r="E2" s="14">
        <f>FV(B1,B2,B3,B4,1)</f>
        <v>18958.125154304013</v>
      </c>
      <c r="F2" s="15">
        <v>7</v>
      </c>
      <c r="G2" s="15">
        <v>8</v>
      </c>
      <c r="H2" s="15">
        <v>9</v>
      </c>
      <c r="I2" s="15">
        <v>10</v>
      </c>
      <c r="J2" s="15">
        <v>11</v>
      </c>
      <c r="K2" s="15">
        <v>12</v>
      </c>
    </row>
    <row r="3" spans="1:11" x14ac:dyDescent="0.25">
      <c r="A3" t="s">
        <v>43</v>
      </c>
      <c r="B3">
        <v>-1000</v>
      </c>
      <c r="E3" s="16">
        <v>0.08</v>
      </c>
      <c r="F3" s="15">
        <f t="dataTable" ref="F3:K6" dt2D="1" dtr="1" r1="B2" r2="B1"/>
        <v>18205.748972421134</v>
      </c>
      <c r="G3" s="15">
        <v>20742.208890214824</v>
      </c>
      <c r="H3" s="15">
        <v>23481.585601432012</v>
      </c>
      <c r="I3" s="15">
        <v>26440.112449546577</v>
      </c>
      <c r="J3" s="15">
        <v>29635.321445510297</v>
      </c>
      <c r="K3" s="15">
        <v>33086.14716115113</v>
      </c>
    </row>
    <row r="4" spans="1:11" x14ac:dyDescent="0.25">
      <c r="A4" t="s">
        <v>44</v>
      </c>
      <c r="B4">
        <v>-5000</v>
      </c>
      <c r="E4" s="16">
        <v>0.09</v>
      </c>
      <c r="F4" s="15">
        <v>19168.669400641156</v>
      </c>
      <c r="G4" s="15">
        <v>21983.849646698858</v>
      </c>
      <c r="H4" s="15">
        <v>25052.39611490176</v>
      </c>
      <c r="I4" s="15">
        <v>28397.111765242924</v>
      </c>
      <c r="J4" s="15">
        <v>32042.851824114783</v>
      </c>
      <c r="K4" s="15">
        <v>36016.708488285112</v>
      </c>
    </row>
    <row r="5" spans="1:11" x14ac:dyDescent="0.25">
      <c r="A5" t="s">
        <v>45</v>
      </c>
      <c r="B5" s="9">
        <f>FV(B1,B2,B3,B4,1)</f>
        <v>18958.125154304013</v>
      </c>
      <c r="E5" s="16">
        <v>0.1</v>
      </c>
      <c r="F5" s="15">
        <v>20179.473600000019</v>
      </c>
      <c r="G5" s="15">
        <v>23297.420960000018</v>
      </c>
      <c r="H5" s="15">
        <v>26727.163056000027</v>
      </c>
      <c r="I5" s="15">
        <v>30499.879361600033</v>
      </c>
      <c r="J5" s="15">
        <v>34649.867297760044</v>
      </c>
      <c r="K5" s="15">
        <v>39214.854027536043</v>
      </c>
    </row>
    <row r="6" spans="1:11" x14ac:dyDescent="0.25">
      <c r="E6" s="16">
        <v>0.11</v>
      </c>
      <c r="F6" s="15">
        <v>21240.235034653273</v>
      </c>
      <c r="G6" s="15">
        <v>24686.660888465143</v>
      </c>
      <c r="H6" s="15">
        <v>28512.193586196314</v>
      </c>
      <c r="I6" s="15">
        <v>32758.534880677907</v>
      </c>
      <c r="J6" s="15">
        <v>37471.973717552479</v>
      </c>
      <c r="K6" s="15">
        <v>42703.890826483257</v>
      </c>
    </row>
  </sheetData>
  <dataConsolidate/>
  <mergeCells count="1">
    <mergeCell ref="F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F3" sqref="F3"/>
    </sheetView>
  </sheetViews>
  <sheetFormatPr defaultRowHeight="15" x14ac:dyDescent="0.25"/>
  <cols>
    <col min="1" max="1" width="18.42578125" customWidth="1"/>
    <col min="2" max="2" width="13.140625" customWidth="1"/>
    <col min="5" max="5" width="18.28515625" customWidth="1"/>
    <col min="6" max="6" width="10.5703125" customWidth="1"/>
  </cols>
  <sheetData>
    <row r="1" spans="1:11" x14ac:dyDescent="0.25">
      <c r="A1" t="s">
        <v>48</v>
      </c>
      <c r="B1" s="30">
        <v>9.5000000000000001E-2</v>
      </c>
      <c r="E1" s="12" t="s">
        <v>46</v>
      </c>
      <c r="F1" s="18" t="s">
        <v>49</v>
      </c>
      <c r="G1" s="19"/>
      <c r="H1" s="19"/>
      <c r="I1" s="19"/>
      <c r="J1" s="19"/>
      <c r="K1" s="20"/>
    </row>
    <row r="2" spans="1:11" x14ac:dyDescent="0.25">
      <c r="A2" t="s">
        <v>42</v>
      </c>
      <c r="B2">
        <v>32</v>
      </c>
      <c r="E2" s="14">
        <f>FV(B1,B2,B3,B4,1)</f>
        <v>472566.62441392359</v>
      </c>
      <c r="F2" s="15">
        <v>3</v>
      </c>
      <c r="G2" s="15">
        <v>6</v>
      </c>
      <c r="H2" s="15">
        <v>9</v>
      </c>
      <c r="I2" s="15">
        <v>12</v>
      </c>
      <c r="J2" s="15">
        <v>11</v>
      </c>
      <c r="K2" s="15">
        <v>12</v>
      </c>
    </row>
    <row r="3" spans="1:11" x14ac:dyDescent="0.25">
      <c r="A3" t="s">
        <v>43</v>
      </c>
      <c r="B3">
        <v>-1000</v>
      </c>
      <c r="E3" s="16">
        <v>0.09</v>
      </c>
      <c r="F3" s="15">
        <f t="dataTable" ref="F3:K8" dt2D="1" dtr="1" r1="B2" r2="B1"/>
        <v>22998.564000000006</v>
      </c>
      <c r="G3" s="15">
        <v>33356.936338356019</v>
      </c>
      <c r="H3" s="15">
        <v>46771.32890932486</v>
      </c>
      <c r="I3" s="15">
        <v>64143.356306114074</v>
      </c>
      <c r="J3" s="15">
        <v>57847.115877168879</v>
      </c>
      <c r="K3" s="15">
        <v>64143.356306114074</v>
      </c>
    </row>
    <row r="4" spans="1:11" x14ac:dyDescent="0.25">
      <c r="A4" t="s">
        <v>44</v>
      </c>
      <c r="B4" s="17">
        <v>-15000</v>
      </c>
      <c r="E4" s="16">
        <v>0.1</v>
      </c>
      <c r="F4" s="15">
        <v>23606.000000000011</v>
      </c>
      <c r="G4" s="15">
        <v>35060.586000000025</v>
      </c>
      <c r="H4" s="15">
        <v>50306.639966000032</v>
      </c>
      <c r="I4" s="15">
        <v>70599.137794746071</v>
      </c>
      <c r="J4" s="15">
        <v>63181.034358860066</v>
      </c>
      <c r="K4" s="15">
        <v>70599.137794746071</v>
      </c>
    </row>
    <row r="5" spans="1:11" x14ac:dyDescent="0.25">
      <c r="A5" t="s">
        <v>45</v>
      </c>
      <c r="B5" s="9">
        <f>FV(B1,B2,B3,B4,1)</f>
        <v>472566.62441392359</v>
      </c>
      <c r="E5" s="16">
        <v>0.12</v>
      </c>
      <c r="F5" s="15">
        <v>24853.248000000011</v>
      </c>
      <c r="G5" s="15">
        <v>38696.352006144021</v>
      </c>
      <c r="H5" s="15">
        <v>58144.916431287915</v>
      </c>
      <c r="I5" s="15">
        <v>85468.749151976488</v>
      </c>
      <c r="J5" s="15">
        <v>75311.383171407593</v>
      </c>
      <c r="K5" s="15">
        <v>85468.749151976488</v>
      </c>
    </row>
    <row r="6" spans="1:11" x14ac:dyDescent="0.25">
      <c r="E6" s="16">
        <v>0.13</v>
      </c>
      <c r="F6" s="15">
        <v>25493.251999999986</v>
      </c>
      <c r="G6" s="15">
        <v>40633.933831043956</v>
      </c>
      <c r="H6" s="15">
        <v>62480.378223011823</v>
      </c>
      <c r="I6" s="15">
        <v>94002.54729684905</v>
      </c>
      <c r="J6" s="15">
        <v>82188.094952963773</v>
      </c>
      <c r="K6" s="15">
        <v>94002.54729684905</v>
      </c>
    </row>
    <row r="7" spans="1:11" x14ac:dyDescent="0.25">
      <c r="E7" s="16">
        <v>0.14000000000000001</v>
      </c>
      <c r="F7" s="15">
        <v>26144.304000000011</v>
      </c>
      <c r="G7" s="15">
        <v>42655.080725376036</v>
      </c>
      <c r="H7" s="15">
        <v>67116.522918196541</v>
      </c>
      <c r="I7" s="15">
        <v>103357.22583031663</v>
      </c>
      <c r="J7" s="15">
        <v>89664.233184488243</v>
      </c>
      <c r="K7" s="15">
        <v>103357.22583031663</v>
      </c>
    </row>
    <row r="8" spans="1:11" x14ac:dyDescent="0.25">
      <c r="E8" s="16">
        <v>0.15</v>
      </c>
      <c r="F8" s="15">
        <v>26806.499999999989</v>
      </c>
      <c r="G8" s="15">
        <v>44762.710687499974</v>
      </c>
      <c r="H8" s="15">
        <v>72071.862616851504</v>
      </c>
      <c r="I8" s="15">
        <v>113605.66905740398</v>
      </c>
      <c r="J8" s="15">
        <v>97787.538310786083</v>
      </c>
      <c r="K8" s="15">
        <v>113605.66905740398</v>
      </c>
    </row>
  </sheetData>
  <dataConsolidate/>
  <mergeCells count="1">
    <mergeCell ref="F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"/>
  <sheetViews>
    <sheetView workbookViewId="0">
      <selection activeCell="H7" sqref="H7"/>
    </sheetView>
  </sheetViews>
  <sheetFormatPr defaultRowHeight="15" x14ac:dyDescent="0.25"/>
  <cols>
    <col min="1" max="1" width="4.140625" customWidth="1"/>
    <col min="2" max="2" width="4.85546875" customWidth="1"/>
    <col min="3" max="3" width="4.42578125" customWidth="1"/>
    <col min="4" max="4" width="5" customWidth="1"/>
    <col min="5" max="5" width="7.28515625" customWidth="1"/>
    <col min="6" max="6" width="5.7109375" customWidth="1"/>
    <col min="7" max="7" width="5.28515625" customWidth="1"/>
    <col min="8" max="10" width="4.7109375" customWidth="1"/>
    <col min="11" max="12" width="4.42578125" customWidth="1"/>
    <col min="13" max="13" width="4.5703125" customWidth="1"/>
    <col min="14" max="14" width="3.7109375" customWidth="1"/>
    <col min="15" max="15" width="5.5703125" customWidth="1"/>
  </cols>
  <sheetData>
    <row r="1" spans="1:15" x14ac:dyDescent="0.25">
      <c r="A1" t="s">
        <v>51</v>
      </c>
      <c r="B1" s="21">
        <v>1</v>
      </c>
      <c r="E1" s="26" t="s">
        <v>50</v>
      </c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x14ac:dyDescent="0.25">
      <c r="A2" t="s">
        <v>52</v>
      </c>
      <c r="B2">
        <v>1</v>
      </c>
      <c r="E2" s="22">
        <f>B1*B2</f>
        <v>1</v>
      </c>
      <c r="F2" s="24">
        <v>1</v>
      </c>
      <c r="G2" s="24">
        <v>2</v>
      </c>
      <c r="H2" s="24">
        <v>3</v>
      </c>
      <c r="I2" s="24">
        <v>4</v>
      </c>
      <c r="J2" s="24">
        <v>5</v>
      </c>
      <c r="K2" s="24">
        <v>6</v>
      </c>
      <c r="L2" s="24">
        <v>7</v>
      </c>
      <c r="M2" s="24">
        <v>8</v>
      </c>
      <c r="N2" s="24">
        <v>9</v>
      </c>
      <c r="O2" s="24">
        <v>10</v>
      </c>
    </row>
    <row r="3" spans="1:15" x14ac:dyDescent="0.25">
      <c r="E3" s="23">
        <v>1</v>
      </c>
      <c r="F3" s="25">
        <f t="dataTable" ref="F3:O12" dt2D="1" dtr="1" r1="B1" r2="B2"/>
        <v>1</v>
      </c>
      <c r="G3" s="25">
        <v>2</v>
      </c>
      <c r="H3" s="25">
        <v>3</v>
      </c>
      <c r="I3" s="25">
        <v>4</v>
      </c>
      <c r="J3" s="25">
        <v>5</v>
      </c>
      <c r="K3" s="25">
        <v>6</v>
      </c>
      <c r="L3" s="25">
        <v>7</v>
      </c>
      <c r="M3" s="25">
        <v>8</v>
      </c>
      <c r="N3" s="25">
        <v>9</v>
      </c>
      <c r="O3" s="25">
        <v>10</v>
      </c>
    </row>
    <row r="4" spans="1:15" x14ac:dyDescent="0.25">
      <c r="B4" s="17"/>
      <c r="E4" s="23">
        <v>2</v>
      </c>
      <c r="F4" s="25">
        <v>2</v>
      </c>
      <c r="G4" s="25">
        <v>4</v>
      </c>
      <c r="H4" s="25">
        <v>6</v>
      </c>
      <c r="I4" s="25">
        <v>8</v>
      </c>
      <c r="J4" s="25">
        <v>10</v>
      </c>
      <c r="K4" s="25">
        <v>12</v>
      </c>
      <c r="L4" s="25">
        <v>14</v>
      </c>
      <c r="M4" s="25">
        <v>16</v>
      </c>
      <c r="N4" s="25">
        <v>18</v>
      </c>
      <c r="O4" s="25">
        <v>20</v>
      </c>
    </row>
    <row r="5" spans="1:15" x14ac:dyDescent="0.25">
      <c r="B5" s="9"/>
      <c r="E5" s="23">
        <v>3</v>
      </c>
      <c r="F5" s="25">
        <v>3</v>
      </c>
      <c r="G5" s="25">
        <v>6</v>
      </c>
      <c r="H5" s="25">
        <v>9</v>
      </c>
      <c r="I5" s="25">
        <v>12</v>
      </c>
      <c r="J5" s="25">
        <v>15</v>
      </c>
      <c r="K5" s="25">
        <v>18</v>
      </c>
      <c r="L5" s="25">
        <v>21</v>
      </c>
      <c r="M5" s="25">
        <v>24</v>
      </c>
      <c r="N5" s="25">
        <v>27</v>
      </c>
      <c r="O5" s="25">
        <v>30</v>
      </c>
    </row>
    <row r="6" spans="1:15" x14ac:dyDescent="0.25">
      <c r="E6" s="23">
        <v>4</v>
      </c>
      <c r="F6" s="25">
        <v>4</v>
      </c>
      <c r="G6" s="25">
        <v>8</v>
      </c>
      <c r="H6" s="25">
        <v>12</v>
      </c>
      <c r="I6" s="25">
        <v>16</v>
      </c>
      <c r="J6" s="25">
        <v>20</v>
      </c>
      <c r="K6" s="25">
        <v>24</v>
      </c>
      <c r="L6" s="25">
        <v>28</v>
      </c>
      <c r="M6" s="25">
        <v>32</v>
      </c>
      <c r="N6" s="25">
        <v>36</v>
      </c>
      <c r="O6" s="25">
        <v>40</v>
      </c>
    </row>
    <row r="7" spans="1:15" x14ac:dyDescent="0.25">
      <c r="E7" s="23">
        <v>5</v>
      </c>
      <c r="F7" s="25">
        <v>5</v>
      </c>
      <c r="G7" s="25">
        <v>10</v>
      </c>
      <c r="H7" s="25">
        <v>15</v>
      </c>
      <c r="I7" s="25">
        <v>20</v>
      </c>
      <c r="J7" s="25">
        <v>25</v>
      </c>
      <c r="K7" s="25">
        <v>30</v>
      </c>
      <c r="L7" s="25">
        <v>35</v>
      </c>
      <c r="M7" s="25">
        <v>40</v>
      </c>
      <c r="N7" s="25">
        <v>45</v>
      </c>
      <c r="O7" s="25">
        <v>50</v>
      </c>
    </row>
    <row r="8" spans="1:15" x14ac:dyDescent="0.25">
      <c r="E8" s="23">
        <v>6</v>
      </c>
      <c r="F8" s="25">
        <v>6</v>
      </c>
      <c r="G8" s="25">
        <v>12</v>
      </c>
      <c r="H8" s="25">
        <v>18</v>
      </c>
      <c r="I8" s="25">
        <v>24</v>
      </c>
      <c r="J8" s="25">
        <v>30</v>
      </c>
      <c r="K8" s="25">
        <v>36</v>
      </c>
      <c r="L8" s="25">
        <v>42</v>
      </c>
      <c r="M8" s="25">
        <v>48</v>
      </c>
      <c r="N8" s="25">
        <v>54</v>
      </c>
      <c r="O8" s="25">
        <v>60</v>
      </c>
    </row>
    <row r="9" spans="1:15" x14ac:dyDescent="0.25">
      <c r="E9" s="23">
        <v>7</v>
      </c>
      <c r="F9" s="25">
        <v>7</v>
      </c>
      <c r="G9" s="25">
        <v>14</v>
      </c>
      <c r="H9" s="25">
        <v>21</v>
      </c>
      <c r="I9" s="25">
        <v>28</v>
      </c>
      <c r="J9" s="25">
        <v>35</v>
      </c>
      <c r="K9" s="25">
        <v>42</v>
      </c>
      <c r="L9" s="25">
        <v>49</v>
      </c>
      <c r="M9" s="25">
        <v>56</v>
      </c>
      <c r="N9" s="25">
        <v>63</v>
      </c>
      <c r="O9" s="25">
        <v>70</v>
      </c>
    </row>
    <row r="10" spans="1:15" x14ac:dyDescent="0.25">
      <c r="E10" s="23">
        <v>8</v>
      </c>
      <c r="F10" s="25">
        <v>8</v>
      </c>
      <c r="G10" s="25">
        <v>16</v>
      </c>
      <c r="H10" s="25">
        <v>24</v>
      </c>
      <c r="I10" s="25">
        <v>32</v>
      </c>
      <c r="J10" s="25">
        <v>40</v>
      </c>
      <c r="K10" s="25">
        <v>48</v>
      </c>
      <c r="L10" s="25">
        <v>56</v>
      </c>
      <c r="M10" s="25">
        <v>64</v>
      </c>
      <c r="N10" s="25">
        <v>72</v>
      </c>
      <c r="O10" s="25">
        <v>80</v>
      </c>
    </row>
    <row r="11" spans="1:15" x14ac:dyDescent="0.25">
      <c r="E11" s="23">
        <v>9</v>
      </c>
      <c r="F11" s="25">
        <v>9</v>
      </c>
      <c r="G11" s="25">
        <v>18</v>
      </c>
      <c r="H11" s="25">
        <v>27</v>
      </c>
      <c r="I11" s="25">
        <v>36</v>
      </c>
      <c r="J11" s="25">
        <v>45</v>
      </c>
      <c r="K11" s="25">
        <v>54</v>
      </c>
      <c r="L11" s="25">
        <v>63</v>
      </c>
      <c r="M11" s="25">
        <v>72</v>
      </c>
      <c r="N11" s="25">
        <v>81</v>
      </c>
      <c r="O11" s="25">
        <v>90</v>
      </c>
    </row>
    <row r="12" spans="1:15" x14ac:dyDescent="0.25">
      <c r="E12" s="23">
        <v>10</v>
      </c>
      <c r="F12" s="25">
        <v>10</v>
      </c>
      <c r="G12" s="25">
        <v>20</v>
      </c>
      <c r="H12" s="25">
        <v>30</v>
      </c>
      <c r="I12" s="25">
        <v>40</v>
      </c>
      <c r="J12" s="25">
        <v>50</v>
      </c>
      <c r="K12" s="25">
        <v>60</v>
      </c>
      <c r="L12" s="25">
        <v>70</v>
      </c>
      <c r="M12" s="25">
        <v>80</v>
      </c>
      <c r="N12" s="25">
        <v>90</v>
      </c>
      <c r="O12" s="25">
        <v>100</v>
      </c>
    </row>
  </sheetData>
  <dataConsolidate/>
  <mergeCells count="1">
    <mergeCell ref="E1:O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"/>
  <sheetViews>
    <sheetView workbookViewId="0">
      <selection activeCell="E2" sqref="E2"/>
    </sheetView>
  </sheetViews>
  <sheetFormatPr defaultRowHeight="15" x14ac:dyDescent="0.25"/>
  <cols>
    <col min="1" max="1" width="18.42578125" customWidth="1"/>
    <col min="2" max="2" width="13.140625" customWidth="1"/>
    <col min="5" max="5" width="18.28515625" customWidth="1"/>
    <col min="6" max="6" width="10.5703125" customWidth="1"/>
  </cols>
  <sheetData>
    <row r="1" spans="1:13" x14ac:dyDescent="0.25">
      <c r="A1" t="s">
        <v>48</v>
      </c>
      <c r="B1" s="29">
        <v>0.1125</v>
      </c>
      <c r="E1" s="12" t="s">
        <v>46</v>
      </c>
      <c r="F1" s="18" t="s">
        <v>49</v>
      </c>
      <c r="G1" s="19"/>
      <c r="H1" s="19"/>
      <c r="I1" s="19"/>
      <c r="J1" s="19"/>
      <c r="K1" s="19"/>
      <c r="L1" s="19"/>
      <c r="M1" s="20"/>
    </row>
    <row r="2" spans="1:13" x14ac:dyDescent="0.25">
      <c r="A2" t="s">
        <v>42</v>
      </c>
      <c r="B2">
        <v>48</v>
      </c>
      <c r="E2" s="14">
        <f>PV(B1,B2,B5,B4,1)</f>
        <v>263.87797368024911</v>
      </c>
      <c r="F2" s="15">
        <v>6</v>
      </c>
      <c r="G2" s="15">
        <v>12</v>
      </c>
      <c r="H2" s="15">
        <v>18</v>
      </c>
      <c r="I2" s="15">
        <v>24</v>
      </c>
      <c r="J2" s="15">
        <v>30</v>
      </c>
      <c r="K2" s="15">
        <v>36</v>
      </c>
      <c r="L2" s="15">
        <v>42</v>
      </c>
      <c r="M2" s="15">
        <v>48</v>
      </c>
    </row>
    <row r="3" spans="1:13" x14ac:dyDescent="0.25">
      <c r="A3" t="s">
        <v>44</v>
      </c>
      <c r="B3" s="28">
        <v>-45000</v>
      </c>
      <c r="E3" s="31">
        <v>0.1</v>
      </c>
      <c r="F3" s="15">
        <f t="dataTable" ref="F3:M6" dt2D="1" dtr="1" r1="B2" r2="B1"/>
        <v>-67257.79292951242</v>
      </c>
      <c r="G3" s="15">
        <v>-37486.19202472418</v>
      </c>
      <c r="H3" s="15">
        <v>-20680.899458005773</v>
      </c>
      <c r="I3" s="15">
        <v>-11194.749917166706</v>
      </c>
      <c r="J3" s="15">
        <v>-5840.0658047714405</v>
      </c>
      <c r="K3" s="15">
        <v>-2817.4862196511658</v>
      </c>
      <c r="L3" s="15">
        <v>-1111.3188423380079</v>
      </c>
      <c r="M3" s="15">
        <v>-148.2318375365042</v>
      </c>
    </row>
    <row r="4" spans="1:13" x14ac:dyDescent="0.25">
      <c r="A4" t="s">
        <v>45</v>
      </c>
      <c r="B4" s="28">
        <v>120000</v>
      </c>
      <c r="E4" s="31">
        <v>0.105</v>
      </c>
      <c r="F4" s="15">
        <v>-65444.253891966109</v>
      </c>
      <c r="G4" s="15">
        <v>-35475.627921412794</v>
      </c>
      <c r="H4" s="15">
        <v>-19013.227411218581</v>
      </c>
      <c r="I4" s="15">
        <v>-9970.0823960172402</v>
      </c>
      <c r="J4" s="15">
        <v>-5002.4914474602447</v>
      </c>
      <c r="K4" s="15">
        <v>-2273.6886039026185</v>
      </c>
      <c r="L4" s="15">
        <v>-774.69944877275896</v>
      </c>
      <c r="M4" s="15">
        <v>48.727019175173105</v>
      </c>
    </row>
    <row r="5" spans="1:13" x14ac:dyDescent="0.25">
      <c r="A5" t="s">
        <v>53</v>
      </c>
      <c r="B5" s="28">
        <v>-100</v>
      </c>
      <c r="E5" s="31">
        <v>0.12</v>
      </c>
      <c r="F5" s="15">
        <v>-60335.256921043976</v>
      </c>
      <c r="G5" s="15">
        <v>-30107.241240195712</v>
      </c>
      <c r="H5" s="15">
        <v>-14792.787764841916</v>
      </c>
      <c r="I5" s="15">
        <v>-7034.009030405512</v>
      </c>
      <c r="J5" s="15">
        <v>-3103.1702612112422</v>
      </c>
      <c r="K5" s="15">
        <v>-1111.6850084070697</v>
      </c>
      <c r="L5" s="15">
        <v>-102.73660197079219</v>
      </c>
      <c r="M5" s="15">
        <v>408.42806039209029</v>
      </c>
    </row>
    <row r="6" spans="1:13" x14ac:dyDescent="0.25">
      <c r="E6" s="31">
        <v>0.1275</v>
      </c>
      <c r="F6" s="15">
        <v>-57955.412859863951</v>
      </c>
      <c r="G6" s="15">
        <v>-27755.576082720672</v>
      </c>
      <c r="H6" s="15">
        <v>-13055.983686269503</v>
      </c>
      <c r="I6" s="15">
        <v>-5901.0438031061776</v>
      </c>
      <c r="J6" s="15">
        <v>-2418.4190233850431</v>
      </c>
      <c r="K6" s="15">
        <v>-723.2719565496775</v>
      </c>
      <c r="L6" s="15">
        <v>101.83087822387937</v>
      </c>
      <c r="M6" s="15">
        <v>503.44481560473531</v>
      </c>
    </row>
  </sheetData>
  <dataConsolidate/>
  <mergeCells count="1">
    <mergeCell ref="F1:M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opLeftCell="A16" workbookViewId="0">
      <selection activeCell="B24" sqref="B24"/>
    </sheetView>
  </sheetViews>
  <sheetFormatPr defaultRowHeight="15" x14ac:dyDescent="0.25"/>
  <cols>
    <col min="1" max="1" width="18.28515625" customWidth="1"/>
  </cols>
  <sheetData>
    <row r="1" spans="1:6" x14ac:dyDescent="0.25">
      <c r="A1" s="27" t="s">
        <v>54</v>
      </c>
      <c r="B1" s="27"/>
      <c r="C1" s="27"/>
      <c r="D1" s="27"/>
      <c r="E1" s="27"/>
      <c r="F1" s="27"/>
    </row>
    <row r="2" spans="1:6" x14ac:dyDescent="0.25">
      <c r="A2" s="13" t="s">
        <v>55</v>
      </c>
      <c r="B2" s="13" t="s">
        <v>56</v>
      </c>
      <c r="C2" s="13"/>
      <c r="D2" s="13"/>
      <c r="E2" s="13"/>
      <c r="F2" s="15"/>
    </row>
    <row r="3" spans="1:6" x14ac:dyDescent="0.25">
      <c r="A3" s="13"/>
      <c r="B3" s="15">
        <v>1</v>
      </c>
      <c r="C3" s="15">
        <v>2</v>
      </c>
      <c r="D3" s="15">
        <v>3</v>
      </c>
      <c r="E3" s="15">
        <v>4</v>
      </c>
      <c r="F3" s="15"/>
    </row>
    <row r="4" spans="1:6" x14ac:dyDescent="0.25">
      <c r="A4" s="15" t="s">
        <v>57</v>
      </c>
      <c r="B4" s="15">
        <v>4</v>
      </c>
      <c r="C4" s="15">
        <v>5</v>
      </c>
      <c r="D4" s="15">
        <v>5</v>
      </c>
      <c r="E4" s="15">
        <v>7</v>
      </c>
      <c r="F4" s="15">
        <v>100</v>
      </c>
    </row>
    <row r="5" spans="1:6" x14ac:dyDescent="0.25">
      <c r="A5" s="15" t="s">
        <v>58</v>
      </c>
      <c r="B5" s="15">
        <v>8</v>
      </c>
      <c r="C5" s="15">
        <v>7</v>
      </c>
      <c r="D5" s="15">
        <v>5</v>
      </c>
      <c r="E5" s="15">
        <v>4</v>
      </c>
      <c r="F5" s="15">
        <v>120</v>
      </c>
    </row>
    <row r="6" spans="1:6" x14ac:dyDescent="0.25">
      <c r="A6" s="15" t="s">
        <v>59</v>
      </c>
      <c r="B6" s="15">
        <v>9</v>
      </c>
      <c r="C6" s="15">
        <v>6</v>
      </c>
      <c r="D6" s="15">
        <v>4</v>
      </c>
      <c r="E6" s="15">
        <v>5</v>
      </c>
      <c r="F6" s="15">
        <v>150</v>
      </c>
    </row>
    <row r="7" spans="1:6" x14ac:dyDescent="0.25">
      <c r="A7" s="15" t="s">
        <v>60</v>
      </c>
      <c r="B7" s="15">
        <v>3</v>
      </c>
      <c r="C7" s="15">
        <v>2</v>
      </c>
      <c r="D7" s="15">
        <v>9</v>
      </c>
      <c r="E7" s="15">
        <v>3</v>
      </c>
      <c r="F7" s="15">
        <v>130</v>
      </c>
    </row>
    <row r="8" spans="1:6" x14ac:dyDescent="0.25">
      <c r="A8" s="15"/>
      <c r="B8" s="15">
        <v>140</v>
      </c>
      <c r="C8" s="15">
        <v>130</v>
      </c>
      <c r="D8" s="15">
        <v>90</v>
      </c>
      <c r="E8" s="15">
        <v>140</v>
      </c>
      <c r="F8" s="15"/>
    </row>
    <row r="10" spans="1:6" x14ac:dyDescent="0.25">
      <c r="B10" s="11" t="s">
        <v>61</v>
      </c>
      <c r="C10" s="11"/>
      <c r="D10" s="11"/>
      <c r="E10" s="11"/>
      <c r="F10" s="11"/>
    </row>
    <row r="11" spans="1:6" x14ac:dyDescent="0.25">
      <c r="B11" s="15">
        <v>100</v>
      </c>
      <c r="C11" s="15">
        <v>0</v>
      </c>
      <c r="D11" s="15">
        <v>0</v>
      </c>
      <c r="E11" s="15">
        <v>0</v>
      </c>
      <c r="F11" s="15">
        <f>SUM(B11:E11)</f>
        <v>100</v>
      </c>
    </row>
    <row r="12" spans="1:6" x14ac:dyDescent="0.25">
      <c r="B12" s="15">
        <v>0</v>
      </c>
      <c r="C12" s="15">
        <v>0</v>
      </c>
      <c r="D12" s="15">
        <v>0</v>
      </c>
      <c r="E12" s="15">
        <v>120</v>
      </c>
      <c r="F12" s="15">
        <f t="shared" ref="F12:F14" si="0">SUM(B12:E12)</f>
        <v>120</v>
      </c>
    </row>
    <row r="13" spans="1:6" x14ac:dyDescent="0.25">
      <c r="B13" s="15">
        <v>0</v>
      </c>
      <c r="C13" s="15">
        <v>40</v>
      </c>
      <c r="D13" s="15">
        <v>90</v>
      </c>
      <c r="E13" s="15">
        <v>20</v>
      </c>
      <c r="F13" s="15">
        <f t="shared" si="0"/>
        <v>150</v>
      </c>
    </row>
    <row r="14" spans="1:6" x14ac:dyDescent="0.25">
      <c r="B14" s="15">
        <v>40</v>
      </c>
      <c r="C14" s="15">
        <v>90</v>
      </c>
      <c r="D14" s="15">
        <v>0</v>
      </c>
      <c r="E14" s="15">
        <v>0</v>
      </c>
      <c r="F14" s="15">
        <f t="shared" si="0"/>
        <v>130</v>
      </c>
    </row>
    <row r="15" spans="1:6" x14ac:dyDescent="0.25">
      <c r="B15" s="15">
        <f>SUM(B11:B14)</f>
        <v>140</v>
      </c>
      <c r="C15" s="15">
        <f t="shared" ref="C15:E15" si="1">SUM(C11:C14)</f>
        <v>130</v>
      </c>
      <c r="D15" s="15">
        <f t="shared" si="1"/>
        <v>90</v>
      </c>
      <c r="E15" s="15">
        <f t="shared" si="1"/>
        <v>140</v>
      </c>
      <c r="F15" s="15"/>
    </row>
    <row r="17" spans="1:5" x14ac:dyDescent="0.25">
      <c r="B17" s="18" t="s">
        <v>62</v>
      </c>
      <c r="C17" s="19"/>
      <c r="D17" s="19"/>
      <c r="E17" s="20"/>
    </row>
    <row r="18" spans="1:5" x14ac:dyDescent="0.25">
      <c r="B18" s="15">
        <f t="array" ref="B18:E21">B4:E7*B11:E14</f>
        <v>400</v>
      </c>
      <c r="C18" s="15">
        <v>0</v>
      </c>
      <c r="D18" s="15">
        <v>0</v>
      </c>
      <c r="E18" s="15">
        <v>0</v>
      </c>
    </row>
    <row r="19" spans="1:5" x14ac:dyDescent="0.25">
      <c r="B19" s="15">
        <v>0</v>
      </c>
      <c r="C19" s="15">
        <v>0</v>
      </c>
      <c r="D19" s="15">
        <v>0</v>
      </c>
      <c r="E19" s="15">
        <v>480</v>
      </c>
    </row>
    <row r="20" spans="1:5" x14ac:dyDescent="0.25">
      <c r="B20" s="15">
        <v>0</v>
      </c>
      <c r="C20" s="15">
        <v>240</v>
      </c>
      <c r="D20" s="15">
        <v>360</v>
      </c>
      <c r="E20" s="15">
        <v>100</v>
      </c>
    </row>
    <row r="21" spans="1:5" x14ac:dyDescent="0.25">
      <c r="B21" s="15">
        <v>120</v>
      </c>
      <c r="C21" s="15">
        <v>180</v>
      </c>
      <c r="D21" s="15">
        <v>0</v>
      </c>
      <c r="E21" s="15">
        <v>0</v>
      </c>
    </row>
    <row r="23" spans="1:5" x14ac:dyDescent="0.25">
      <c r="A23" s="15" t="s">
        <v>63</v>
      </c>
      <c r="B23" s="15">
        <f>SUM(B18:E21)</f>
        <v>1880</v>
      </c>
    </row>
  </sheetData>
  <mergeCells count="5">
    <mergeCell ref="B2:E2"/>
    <mergeCell ref="A2:A3"/>
    <mergeCell ref="B10:F10"/>
    <mergeCell ref="B17:E17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topLeftCell="A16" workbookViewId="0">
      <selection activeCell="J22" sqref="J22"/>
    </sheetView>
  </sheetViews>
  <sheetFormatPr defaultRowHeight="15" x14ac:dyDescent="0.25"/>
  <cols>
    <col min="1" max="1" width="18.28515625" customWidth="1"/>
  </cols>
  <sheetData>
    <row r="1" spans="1:8" x14ac:dyDescent="0.25">
      <c r="A1" s="27" t="s">
        <v>54</v>
      </c>
      <c r="B1" s="32"/>
      <c r="C1" s="32"/>
      <c r="D1" s="32"/>
      <c r="E1" s="32"/>
      <c r="F1" s="32"/>
    </row>
    <row r="2" spans="1:8" x14ac:dyDescent="0.25">
      <c r="A2" s="13" t="s">
        <v>64</v>
      </c>
      <c r="B2" s="13" t="s">
        <v>65</v>
      </c>
      <c r="C2" s="13"/>
      <c r="D2" s="13"/>
      <c r="E2" s="13"/>
      <c r="F2" s="13"/>
      <c r="G2" s="13"/>
      <c r="H2" s="15"/>
    </row>
    <row r="3" spans="1:8" x14ac:dyDescent="0.25">
      <c r="A3" s="13"/>
      <c r="B3" s="15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/>
    </row>
    <row r="4" spans="1:8" x14ac:dyDescent="0.25">
      <c r="A4" s="15" t="s">
        <v>57</v>
      </c>
      <c r="B4" s="15">
        <v>2</v>
      </c>
      <c r="C4" s="15">
        <v>3</v>
      </c>
      <c r="D4" s="15">
        <v>6</v>
      </c>
      <c r="E4" s="15">
        <v>8</v>
      </c>
      <c r="F4" s="15">
        <v>2</v>
      </c>
      <c r="G4" s="15">
        <v>10</v>
      </c>
      <c r="H4" s="15">
        <v>130000</v>
      </c>
    </row>
    <row r="5" spans="1:8" x14ac:dyDescent="0.25">
      <c r="A5" s="15" t="s">
        <v>58</v>
      </c>
      <c r="B5" s="15">
        <v>8</v>
      </c>
      <c r="C5" s="15">
        <v>1</v>
      </c>
      <c r="D5" s="15">
        <v>2</v>
      </c>
      <c r="E5" s="15">
        <v>3</v>
      </c>
      <c r="F5" s="15">
        <v>9</v>
      </c>
      <c r="G5" s="15">
        <v>5</v>
      </c>
      <c r="H5" s="15">
        <v>90000</v>
      </c>
    </row>
    <row r="6" spans="1:8" x14ac:dyDescent="0.25">
      <c r="A6" s="15" t="s">
        <v>59</v>
      </c>
      <c r="B6" s="15">
        <v>7</v>
      </c>
      <c r="C6" s="15">
        <v>6</v>
      </c>
      <c r="D6" s="15">
        <v>4</v>
      </c>
      <c r="E6" s="15">
        <v>1</v>
      </c>
      <c r="F6" s="15">
        <v>5</v>
      </c>
      <c r="G6" s="15">
        <v>9</v>
      </c>
      <c r="H6" s="15">
        <v>100000</v>
      </c>
    </row>
    <row r="7" spans="1:8" x14ac:dyDescent="0.25">
      <c r="A7" s="15" t="s">
        <v>60</v>
      </c>
      <c r="B7" s="15">
        <v>2</v>
      </c>
      <c r="C7" s="15">
        <v>10</v>
      </c>
      <c r="D7" s="15">
        <v>8</v>
      </c>
      <c r="E7" s="15">
        <v>5</v>
      </c>
      <c r="F7" s="15">
        <v>3</v>
      </c>
      <c r="G7" s="15">
        <v>4</v>
      </c>
      <c r="H7" s="15">
        <v>140000</v>
      </c>
    </row>
    <row r="8" spans="1:8" x14ac:dyDescent="0.25">
      <c r="A8" s="15"/>
      <c r="B8" s="15">
        <v>110000</v>
      </c>
      <c r="C8" s="15">
        <v>50000</v>
      </c>
      <c r="D8" s="15">
        <v>30000</v>
      </c>
      <c r="E8" s="15">
        <v>80000</v>
      </c>
      <c r="F8" s="15">
        <v>100000</v>
      </c>
      <c r="G8" s="15">
        <v>90000</v>
      </c>
      <c r="H8" s="15"/>
    </row>
    <row r="10" spans="1:8" x14ac:dyDescent="0.25">
      <c r="B10" s="11" t="s">
        <v>61</v>
      </c>
      <c r="C10" s="11"/>
      <c r="D10" s="11"/>
      <c r="E10" s="11"/>
      <c r="F10" s="11"/>
    </row>
    <row r="11" spans="1:8" x14ac:dyDescent="0.25">
      <c r="B11" s="15">
        <v>27500</v>
      </c>
      <c r="C11" s="15">
        <v>12500</v>
      </c>
      <c r="D11" s="15">
        <v>7500</v>
      </c>
      <c r="E11" s="15">
        <v>20000</v>
      </c>
      <c r="F11" s="15">
        <v>2</v>
      </c>
      <c r="G11" s="15">
        <v>22500</v>
      </c>
      <c r="H11" s="15">
        <f>SUM(B11:G11)</f>
        <v>90002</v>
      </c>
    </row>
    <row r="12" spans="1:8" x14ac:dyDescent="0.25">
      <c r="B12" s="15">
        <v>27500</v>
      </c>
      <c r="C12" s="15">
        <v>12500</v>
      </c>
      <c r="D12" s="15">
        <v>7500</v>
      </c>
      <c r="E12" s="15">
        <v>20000</v>
      </c>
      <c r="F12" s="15">
        <v>9</v>
      </c>
      <c r="G12" s="15">
        <v>22500</v>
      </c>
      <c r="H12" s="15">
        <f t="shared" ref="H12:H14" si="0">SUM(B12:G12)</f>
        <v>90009</v>
      </c>
    </row>
    <row r="13" spans="1:8" x14ac:dyDescent="0.25">
      <c r="B13" s="15">
        <v>27500</v>
      </c>
      <c r="C13" s="15">
        <v>12500</v>
      </c>
      <c r="D13" s="15">
        <v>7500</v>
      </c>
      <c r="E13" s="15">
        <v>20000</v>
      </c>
      <c r="F13" s="15">
        <v>5</v>
      </c>
      <c r="G13" s="15">
        <v>22500</v>
      </c>
      <c r="H13" s="15">
        <f t="shared" si="0"/>
        <v>90005</v>
      </c>
    </row>
    <row r="14" spans="1:8" x14ac:dyDescent="0.25">
      <c r="B14" s="15">
        <v>27500</v>
      </c>
      <c r="C14" s="15">
        <v>12500</v>
      </c>
      <c r="D14" s="15">
        <v>7500</v>
      </c>
      <c r="E14" s="15">
        <v>20000</v>
      </c>
      <c r="F14" s="15">
        <v>3</v>
      </c>
      <c r="G14" s="15">
        <v>22500</v>
      </c>
      <c r="H14" s="15">
        <f t="shared" si="0"/>
        <v>90003</v>
      </c>
    </row>
    <row r="15" spans="1:8" x14ac:dyDescent="0.25">
      <c r="B15" s="15">
        <f>SUM(B11:B14)</f>
        <v>110000</v>
      </c>
      <c r="C15" s="15">
        <f t="shared" ref="C15:H15" si="1">SUM(C11:C14)</f>
        <v>50000</v>
      </c>
      <c r="D15" s="15">
        <f t="shared" si="1"/>
        <v>30000</v>
      </c>
      <c r="E15" s="15">
        <f t="shared" si="1"/>
        <v>80000</v>
      </c>
      <c r="F15" s="15">
        <f t="shared" si="1"/>
        <v>19</v>
      </c>
      <c r="G15" s="15">
        <f t="shared" si="1"/>
        <v>90000</v>
      </c>
      <c r="H15" s="15"/>
    </row>
    <row r="17" spans="1:7" x14ac:dyDescent="0.25">
      <c r="B17" s="13" t="s">
        <v>62</v>
      </c>
      <c r="C17" s="13"/>
      <c r="D17" s="13"/>
      <c r="E17" s="13"/>
      <c r="F17" s="13"/>
      <c r="G17" s="13"/>
    </row>
    <row r="18" spans="1:7" x14ac:dyDescent="0.25">
      <c r="B18" s="15">
        <f t="array" ref="B18:G21">B4:G7*B11:G14</f>
        <v>55000</v>
      </c>
      <c r="C18" s="15">
        <v>37500</v>
      </c>
      <c r="D18" s="15">
        <v>45000</v>
      </c>
      <c r="E18" s="15">
        <v>160000</v>
      </c>
      <c r="F18" s="15">
        <v>4</v>
      </c>
      <c r="G18" s="15">
        <v>225000</v>
      </c>
    </row>
    <row r="19" spans="1:7" x14ac:dyDescent="0.25">
      <c r="B19" s="15">
        <v>220000</v>
      </c>
      <c r="C19" s="15">
        <v>12500</v>
      </c>
      <c r="D19" s="15">
        <v>15000</v>
      </c>
      <c r="E19" s="15">
        <v>60000</v>
      </c>
      <c r="F19" s="15">
        <v>81</v>
      </c>
      <c r="G19" s="15">
        <v>112500</v>
      </c>
    </row>
    <row r="20" spans="1:7" x14ac:dyDescent="0.25">
      <c r="B20" s="15">
        <v>192500</v>
      </c>
      <c r="C20" s="15">
        <v>75000</v>
      </c>
      <c r="D20" s="15">
        <v>30000</v>
      </c>
      <c r="E20" s="15">
        <v>20000</v>
      </c>
      <c r="F20" s="15">
        <v>25</v>
      </c>
      <c r="G20" s="15">
        <v>202500</v>
      </c>
    </row>
    <row r="21" spans="1:7" x14ac:dyDescent="0.25">
      <c r="B21" s="15">
        <v>55000</v>
      </c>
      <c r="C21" s="15">
        <v>125000</v>
      </c>
      <c r="D21" s="15">
        <v>60000</v>
      </c>
      <c r="E21" s="15">
        <v>100000</v>
      </c>
      <c r="F21" s="15">
        <v>9</v>
      </c>
      <c r="G21" s="15">
        <v>90000</v>
      </c>
    </row>
    <row r="23" spans="1:7" x14ac:dyDescent="0.25">
      <c r="A23" s="15" t="s">
        <v>63</v>
      </c>
      <c r="B23" s="15">
        <f>SUM(B18:G21)</f>
        <v>1892619</v>
      </c>
    </row>
  </sheetData>
  <mergeCells count="5">
    <mergeCell ref="A1:F1"/>
    <mergeCell ref="A2:A3"/>
    <mergeCell ref="B10:F10"/>
    <mergeCell ref="B2:G2"/>
    <mergeCell ref="B17:G1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topLeftCell="A13" workbookViewId="0">
      <selection activeCell="F22" sqref="F22"/>
    </sheetView>
  </sheetViews>
  <sheetFormatPr defaultRowHeight="15" x14ac:dyDescent="0.25"/>
  <cols>
    <col min="1" max="1" width="18.28515625" customWidth="1"/>
  </cols>
  <sheetData>
    <row r="1" spans="1:8" x14ac:dyDescent="0.25">
      <c r="A1" s="27" t="s">
        <v>54</v>
      </c>
      <c r="B1" s="32"/>
      <c r="C1" s="32"/>
      <c r="D1" s="32"/>
      <c r="E1" s="32"/>
      <c r="F1" s="32"/>
    </row>
    <row r="2" spans="1:8" x14ac:dyDescent="0.25">
      <c r="A2" s="13" t="s">
        <v>66</v>
      </c>
      <c r="B2" s="13" t="s">
        <v>67</v>
      </c>
      <c r="C2" s="13"/>
      <c r="D2" s="13"/>
      <c r="E2" s="13"/>
      <c r="F2" s="13"/>
      <c r="G2" s="13"/>
      <c r="H2" s="15"/>
    </row>
    <row r="3" spans="1:8" x14ac:dyDescent="0.25">
      <c r="A3" s="13"/>
      <c r="B3" s="15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/>
    </row>
    <row r="4" spans="1:8" x14ac:dyDescent="0.25">
      <c r="A4" s="15" t="s">
        <v>57</v>
      </c>
      <c r="B4" s="15">
        <v>1</v>
      </c>
      <c r="C4" s="15">
        <v>5</v>
      </c>
      <c r="D4" s="15">
        <v>2</v>
      </c>
      <c r="E4" s="15">
        <v>2</v>
      </c>
      <c r="F4" s="15">
        <v>1</v>
      </c>
      <c r="G4" s="15">
        <v>6</v>
      </c>
      <c r="H4" s="15">
        <v>100</v>
      </c>
    </row>
    <row r="5" spans="1:8" x14ac:dyDescent="0.25">
      <c r="A5" s="15" t="s">
        <v>58</v>
      </c>
      <c r="B5" s="15">
        <v>3</v>
      </c>
      <c r="C5" s="15">
        <v>6</v>
      </c>
      <c r="D5" s="15">
        <v>2</v>
      </c>
      <c r="E5" s="15">
        <v>4</v>
      </c>
      <c r="F5" s="15">
        <v>3</v>
      </c>
      <c r="G5" s="15">
        <v>3</v>
      </c>
      <c r="H5" s="15">
        <v>15</v>
      </c>
    </row>
    <row r="6" spans="1:8" x14ac:dyDescent="0.25">
      <c r="A6" s="15" t="s">
        <v>59</v>
      </c>
      <c r="B6" s="15">
        <v>8</v>
      </c>
      <c r="C6" s="15">
        <v>10</v>
      </c>
      <c r="D6" s="15">
        <v>4</v>
      </c>
      <c r="E6" s="15">
        <v>5</v>
      </c>
      <c r="F6" s="15">
        <v>6</v>
      </c>
      <c r="G6" s="15">
        <v>8</v>
      </c>
      <c r="H6" s="15">
        <v>90</v>
      </c>
    </row>
    <row r="7" spans="1:8" x14ac:dyDescent="0.25">
      <c r="A7" s="15" t="s">
        <v>60</v>
      </c>
      <c r="B7" s="15">
        <v>7</v>
      </c>
      <c r="C7" s="15">
        <v>3</v>
      </c>
      <c r="D7" s="15">
        <v>7</v>
      </c>
      <c r="E7" s="15">
        <v>9</v>
      </c>
      <c r="F7" s="15">
        <v>1</v>
      </c>
      <c r="G7" s="15">
        <v>2</v>
      </c>
      <c r="H7" s="15">
        <v>55</v>
      </c>
    </row>
    <row r="8" spans="1:8" x14ac:dyDescent="0.25">
      <c r="A8" s="15"/>
      <c r="B8" s="15">
        <v>30</v>
      </c>
      <c r="C8" s="15">
        <v>40</v>
      </c>
      <c r="D8" s="15">
        <v>55</v>
      </c>
      <c r="E8" s="15">
        <v>80</v>
      </c>
      <c r="F8" s="15">
        <v>45</v>
      </c>
      <c r="G8" s="15">
        <v>10</v>
      </c>
      <c r="H8" s="15"/>
    </row>
    <row r="10" spans="1:8" x14ac:dyDescent="0.25">
      <c r="B10" s="11" t="s">
        <v>61</v>
      </c>
      <c r="C10" s="11"/>
      <c r="D10" s="11"/>
      <c r="E10" s="11"/>
      <c r="F10" s="11"/>
    </row>
    <row r="11" spans="1:8" x14ac:dyDescent="0.25">
      <c r="B11" s="15">
        <v>7.5</v>
      </c>
      <c r="C11" s="15">
        <v>9.9999970000000022</v>
      </c>
      <c r="D11" s="15">
        <v>13.75</v>
      </c>
      <c r="E11" s="15">
        <v>20</v>
      </c>
      <c r="F11" s="15">
        <v>1</v>
      </c>
      <c r="G11" s="15">
        <v>2.5</v>
      </c>
      <c r="H11" s="15">
        <f>SUM(B11:G11)</f>
        <v>54.749997</v>
      </c>
    </row>
    <row r="12" spans="1:8" x14ac:dyDescent="0.25">
      <c r="B12" s="15">
        <v>7.5</v>
      </c>
      <c r="C12" s="15">
        <v>10.000000999999999</v>
      </c>
      <c r="D12" s="15">
        <v>13.75</v>
      </c>
      <c r="E12" s="15">
        <v>20</v>
      </c>
      <c r="F12" s="15">
        <v>3</v>
      </c>
      <c r="G12" s="15">
        <v>2.5</v>
      </c>
      <c r="H12" s="15">
        <f t="shared" ref="H12:H14" si="0">SUM(B12:G12)</f>
        <v>56.750000999999997</v>
      </c>
    </row>
    <row r="13" spans="1:8" x14ac:dyDescent="0.25">
      <c r="B13" s="15">
        <v>7.5</v>
      </c>
      <c r="C13" s="15">
        <v>10.000000999999999</v>
      </c>
      <c r="D13" s="15">
        <v>13.75</v>
      </c>
      <c r="E13" s="15">
        <v>20</v>
      </c>
      <c r="F13" s="15">
        <v>6</v>
      </c>
      <c r="G13" s="15">
        <v>2.5</v>
      </c>
      <c r="H13" s="15">
        <f t="shared" si="0"/>
        <v>59.750000999999997</v>
      </c>
    </row>
    <row r="14" spans="1:8" x14ac:dyDescent="0.25">
      <c r="B14" s="15">
        <v>7.5</v>
      </c>
      <c r="C14" s="15">
        <v>10.000000999999999</v>
      </c>
      <c r="D14" s="15">
        <v>13.75</v>
      </c>
      <c r="E14" s="15">
        <v>20</v>
      </c>
      <c r="F14" s="15">
        <v>1</v>
      </c>
      <c r="G14" s="15">
        <v>2.5</v>
      </c>
      <c r="H14" s="15">
        <f t="shared" si="0"/>
        <v>54.750000999999997</v>
      </c>
    </row>
    <row r="15" spans="1:8" x14ac:dyDescent="0.25">
      <c r="B15" s="15">
        <f>SUM(B11:B14)</f>
        <v>30</v>
      </c>
      <c r="C15" s="15">
        <f t="shared" ref="C15:G15" si="1">SUM(C11:C14)</f>
        <v>40</v>
      </c>
      <c r="D15" s="15">
        <f t="shared" si="1"/>
        <v>55</v>
      </c>
      <c r="E15" s="15">
        <f t="shared" si="1"/>
        <v>80</v>
      </c>
      <c r="F15" s="15">
        <f t="shared" si="1"/>
        <v>11</v>
      </c>
      <c r="G15" s="15">
        <f t="shared" si="1"/>
        <v>10</v>
      </c>
      <c r="H15" s="15"/>
    </row>
    <row r="17" spans="1:7" x14ac:dyDescent="0.25">
      <c r="B17" s="13" t="s">
        <v>62</v>
      </c>
      <c r="C17" s="13"/>
      <c r="D17" s="13"/>
      <c r="E17" s="13"/>
      <c r="F17" s="13"/>
      <c r="G17" s="13"/>
    </row>
    <row r="18" spans="1:7" x14ac:dyDescent="0.25">
      <c r="B18" s="15">
        <f t="array" ref="B18:G21">B4:G7*B11:G14</f>
        <v>7.5</v>
      </c>
      <c r="C18" s="15">
        <v>49.999985000000009</v>
      </c>
      <c r="D18" s="15">
        <v>27.5</v>
      </c>
      <c r="E18" s="15">
        <v>40</v>
      </c>
      <c r="F18" s="15">
        <v>1</v>
      </c>
      <c r="G18" s="15">
        <v>15</v>
      </c>
    </row>
    <row r="19" spans="1:7" x14ac:dyDescent="0.25">
      <c r="B19" s="15">
        <v>22.5</v>
      </c>
      <c r="C19" s="15">
        <v>60.000005999999999</v>
      </c>
      <c r="D19" s="15">
        <v>27.5</v>
      </c>
      <c r="E19" s="15">
        <v>80</v>
      </c>
      <c r="F19" s="15">
        <v>9</v>
      </c>
      <c r="G19" s="15">
        <v>7.5</v>
      </c>
    </row>
    <row r="20" spans="1:7" x14ac:dyDescent="0.25">
      <c r="B20" s="15">
        <v>60</v>
      </c>
      <c r="C20" s="15">
        <v>100.00000999999999</v>
      </c>
      <c r="D20" s="15">
        <v>55</v>
      </c>
      <c r="E20" s="15">
        <v>100</v>
      </c>
      <c r="F20" s="15">
        <v>36</v>
      </c>
      <c r="G20" s="15">
        <v>20</v>
      </c>
    </row>
    <row r="21" spans="1:7" x14ac:dyDescent="0.25">
      <c r="B21" s="15">
        <v>52.5</v>
      </c>
      <c r="C21" s="15">
        <v>30.000003</v>
      </c>
      <c r="D21" s="15">
        <v>96.25</v>
      </c>
      <c r="E21" s="15">
        <v>180</v>
      </c>
      <c r="F21" s="15">
        <v>1</v>
      </c>
      <c r="G21" s="15">
        <v>5</v>
      </c>
    </row>
    <row r="23" spans="1:7" x14ac:dyDescent="0.25">
      <c r="A23" s="15" t="s">
        <v>63</v>
      </c>
      <c r="B23" s="15">
        <f>SUM(B18:G21)</f>
        <v>1083.250004</v>
      </c>
    </row>
  </sheetData>
  <mergeCells count="5">
    <mergeCell ref="A1:F1"/>
    <mergeCell ref="A2:A3"/>
    <mergeCell ref="B2:G2"/>
    <mergeCell ref="B10:F10"/>
    <mergeCell ref="B17:G1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4"/>
  <sheetViews>
    <sheetView topLeftCell="A5" workbookViewId="0">
      <selection activeCell="B24" sqref="B24"/>
    </sheetView>
  </sheetViews>
  <sheetFormatPr defaultRowHeight="15" x14ac:dyDescent="0.25"/>
  <cols>
    <col min="1" max="1" width="20.42578125" customWidth="1"/>
  </cols>
  <sheetData>
    <row r="1" spans="1:6" x14ac:dyDescent="0.25">
      <c r="A1" s="27" t="s">
        <v>54</v>
      </c>
      <c r="B1" s="27"/>
      <c r="C1" s="27"/>
      <c r="D1" s="27"/>
      <c r="E1" s="27"/>
      <c r="F1" s="27"/>
    </row>
    <row r="2" spans="1:6" x14ac:dyDescent="0.25">
      <c r="A2" s="13" t="s">
        <v>68</v>
      </c>
      <c r="B2" s="13" t="s">
        <v>69</v>
      </c>
      <c r="C2" s="13"/>
      <c r="D2" s="13"/>
      <c r="E2" s="13"/>
      <c r="F2" s="15"/>
    </row>
    <row r="3" spans="1:6" x14ac:dyDescent="0.25">
      <c r="A3" s="13"/>
      <c r="B3" s="15">
        <v>1</v>
      </c>
      <c r="C3" s="15">
        <v>2</v>
      </c>
      <c r="D3" s="15">
        <v>3</v>
      </c>
      <c r="E3" s="15">
        <v>4</v>
      </c>
      <c r="F3" s="15"/>
    </row>
    <row r="4" spans="1:6" x14ac:dyDescent="0.25">
      <c r="A4" s="15" t="s">
        <v>57</v>
      </c>
      <c r="B4" s="15">
        <v>7</v>
      </c>
      <c r="C4" s="15">
        <v>3</v>
      </c>
      <c r="D4" s="15">
        <v>3</v>
      </c>
      <c r="E4" s="15">
        <v>8</v>
      </c>
      <c r="F4" s="15">
        <v>10</v>
      </c>
    </row>
    <row r="5" spans="1:6" x14ac:dyDescent="0.25">
      <c r="A5" s="15" t="s">
        <v>58</v>
      </c>
      <c r="B5" s="15">
        <v>7</v>
      </c>
      <c r="C5" s="15">
        <v>6</v>
      </c>
      <c r="D5" s="15">
        <v>2</v>
      </c>
      <c r="E5" s="15">
        <v>7</v>
      </c>
      <c r="F5" s="15">
        <v>20</v>
      </c>
    </row>
    <row r="6" spans="1:6" x14ac:dyDescent="0.25">
      <c r="A6" s="15" t="s">
        <v>59</v>
      </c>
      <c r="B6" s="15">
        <v>4</v>
      </c>
      <c r="C6" s="15">
        <v>7</v>
      </c>
      <c r="D6" s="15">
        <v>7</v>
      </c>
      <c r="E6" s="15">
        <v>3</v>
      </c>
      <c r="F6" s="15">
        <v>35</v>
      </c>
    </row>
    <row r="7" spans="1:6" x14ac:dyDescent="0.25">
      <c r="A7" s="15" t="s">
        <v>60</v>
      </c>
      <c r="B7" s="15">
        <v>5</v>
      </c>
      <c r="C7" s="15">
        <v>2</v>
      </c>
      <c r="D7" s="15">
        <v>4</v>
      </c>
      <c r="E7" s="15">
        <v>5</v>
      </c>
      <c r="F7" s="15">
        <v>45</v>
      </c>
    </row>
    <row r="8" spans="1:6" x14ac:dyDescent="0.25">
      <c r="A8" s="15"/>
      <c r="B8" s="15">
        <v>25</v>
      </c>
      <c r="C8" s="15">
        <v>30</v>
      </c>
      <c r="D8" s="15">
        <v>40</v>
      </c>
      <c r="E8" s="15">
        <v>15</v>
      </c>
      <c r="F8" s="15"/>
    </row>
    <row r="10" spans="1:6" x14ac:dyDescent="0.25">
      <c r="B10" s="11" t="s">
        <v>61</v>
      </c>
      <c r="C10" s="11"/>
      <c r="D10" s="11"/>
      <c r="E10" s="11"/>
      <c r="F10" s="11"/>
    </row>
    <row r="11" spans="1:6" x14ac:dyDescent="0.25">
      <c r="B11" s="15">
        <v>10</v>
      </c>
      <c r="C11" s="15">
        <v>0</v>
      </c>
      <c r="D11" s="15">
        <v>0</v>
      </c>
      <c r="E11" s="15">
        <v>0</v>
      </c>
      <c r="F11" s="15">
        <f>SUM(B11:E11)</f>
        <v>10</v>
      </c>
    </row>
    <row r="12" spans="1:6" x14ac:dyDescent="0.25">
      <c r="B12" s="15">
        <v>0</v>
      </c>
      <c r="C12" s="15">
        <v>0</v>
      </c>
      <c r="D12" s="15">
        <v>0</v>
      </c>
      <c r="E12" s="15">
        <v>20</v>
      </c>
      <c r="F12" s="15">
        <f t="shared" ref="F12:F14" si="0">SUM(B12:E12)</f>
        <v>20</v>
      </c>
    </row>
    <row r="13" spans="1:6" x14ac:dyDescent="0.25">
      <c r="B13" s="15">
        <v>0</v>
      </c>
      <c r="C13" s="15">
        <v>0</v>
      </c>
      <c r="D13" s="15">
        <v>40</v>
      </c>
      <c r="E13" s="15">
        <v>0</v>
      </c>
      <c r="F13" s="15">
        <f t="shared" si="0"/>
        <v>40</v>
      </c>
    </row>
    <row r="14" spans="1:6" x14ac:dyDescent="0.25">
      <c r="B14" s="15">
        <v>14.999999999999996</v>
      </c>
      <c r="C14" s="15">
        <v>29.999999999999574</v>
      </c>
      <c r="D14" s="15">
        <v>0</v>
      </c>
      <c r="E14" s="15">
        <v>0</v>
      </c>
      <c r="F14" s="15">
        <f t="shared" si="0"/>
        <v>44.999999999999574</v>
      </c>
    </row>
    <row r="15" spans="1:6" x14ac:dyDescent="0.25">
      <c r="B15" s="15">
        <f>SUM(B11:B14)</f>
        <v>24.999999999999996</v>
      </c>
      <c r="C15" s="15">
        <f t="shared" ref="C15:E15" si="1">SUM(C11:C14)</f>
        <v>29.999999999999574</v>
      </c>
      <c r="D15" s="15">
        <f t="shared" si="1"/>
        <v>40</v>
      </c>
      <c r="E15" s="15">
        <f t="shared" si="1"/>
        <v>20</v>
      </c>
      <c r="F15" s="15"/>
    </row>
    <row r="17" spans="1:5" x14ac:dyDescent="0.25">
      <c r="B17" s="18" t="s">
        <v>62</v>
      </c>
      <c r="C17" s="19"/>
      <c r="D17" s="19"/>
      <c r="E17" s="20"/>
    </row>
    <row r="18" spans="1:5" x14ac:dyDescent="0.25">
      <c r="B18" s="15">
        <f t="array" ref="B18:E21">B4:E7*B11:E14</f>
        <v>70</v>
      </c>
      <c r="C18" s="15">
        <v>0</v>
      </c>
      <c r="D18" s="15">
        <v>0</v>
      </c>
      <c r="E18" s="15">
        <v>0</v>
      </c>
    </row>
    <row r="19" spans="1:5" x14ac:dyDescent="0.25">
      <c r="B19" s="15">
        <v>0</v>
      </c>
      <c r="C19" s="15">
        <v>0</v>
      </c>
      <c r="D19" s="15">
        <v>0</v>
      </c>
      <c r="E19" s="15">
        <v>140</v>
      </c>
    </row>
    <row r="20" spans="1:5" x14ac:dyDescent="0.25">
      <c r="B20" s="15">
        <v>0</v>
      </c>
      <c r="C20" s="15">
        <v>0</v>
      </c>
      <c r="D20" s="15">
        <v>280</v>
      </c>
      <c r="E20" s="15">
        <v>0</v>
      </c>
    </row>
    <row r="21" spans="1:5" x14ac:dyDescent="0.25">
      <c r="B21" s="15">
        <v>74.999999999999986</v>
      </c>
      <c r="C21" s="15">
        <v>59.999999999999147</v>
      </c>
      <c r="D21" s="15">
        <v>0</v>
      </c>
      <c r="E21" s="15">
        <v>0</v>
      </c>
    </row>
    <row r="23" spans="1:5" x14ac:dyDescent="0.25">
      <c r="A23" s="15" t="s">
        <v>63</v>
      </c>
      <c r="B23" s="15">
        <f>SUM(B18:E21)</f>
        <v>624.99999999999909</v>
      </c>
    </row>
    <row r="24" spans="1:5" x14ac:dyDescent="0.25">
      <c r="A24" t="s">
        <v>70</v>
      </c>
      <c r="B24">
        <f>B23*20</f>
        <v>12499.999999999982</v>
      </c>
    </row>
  </sheetData>
  <mergeCells count="5">
    <mergeCell ref="A1:F1"/>
    <mergeCell ref="A2:A3"/>
    <mergeCell ref="B2:E2"/>
    <mergeCell ref="B10:F10"/>
    <mergeCell ref="B17:E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Формат дат</vt:lpstr>
      <vt:lpstr>Раскрывающийся список</vt:lpstr>
      <vt:lpstr>Выпадающий список</vt:lpstr>
      <vt:lpstr>Элемент управления</vt:lpstr>
      <vt:lpstr>ЭлементActiveX</vt:lpstr>
      <vt:lpstr>10.1</vt:lpstr>
      <vt:lpstr>10.2</vt:lpstr>
      <vt:lpstr>10.3.1</vt:lpstr>
      <vt:lpstr>10.3.2</vt:lpstr>
      <vt:lpstr>10.3.3</vt:lpstr>
      <vt:lpstr>13.1</vt:lpstr>
      <vt:lpstr>13.2</vt:lpstr>
      <vt:lpstr>13.3</vt:lpstr>
      <vt:lpstr>13.4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1</cp:lastModifiedBy>
  <dcterms:created xsi:type="dcterms:W3CDTF">2019-01-15T13:57:27Z</dcterms:created>
  <dcterms:modified xsi:type="dcterms:W3CDTF">2019-01-15T18:16:00Z</dcterms:modified>
</cp:coreProperties>
</file>